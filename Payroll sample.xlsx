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584EBD32-DBAF-4A5F-9698-F78B04B41BB4}" xr6:coauthVersionLast="47" xr6:coauthVersionMax="47" xr10:uidLastSave="{00000000-0000-0000-0000-000000000000}"/>
  <bookViews>
    <workbookView xWindow="-120" yWindow="-120" windowWidth="24240" windowHeight="13020" activeTab="6" xr2:uid="{D49839C1-6E6E-4D72-96C5-B05DB5BC58DE}"/>
  </bookViews>
  <sheets>
    <sheet name="PT" sheetId="1" r:id="rId1"/>
    <sheet name="INC" sheetId="2" r:id="rId2"/>
    <sheet name="MDS" sheetId="3" r:id="rId3"/>
    <sheet name="PROJ" sheetId="4" r:id="rId4"/>
    <sheet name="BUSTYPE" sheetId="5" r:id="rId5"/>
    <sheet name="YEARBOOK" sheetId="7" r:id="rId6"/>
    <sheet name="SUPPORT SERVICES" sheetId="6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8" i="7" l="1"/>
  <c r="L15" i="7"/>
  <c r="L14" i="7"/>
  <c r="R11" i="7"/>
  <c r="Q11" i="7"/>
  <c r="P11" i="7"/>
  <c r="O11" i="7"/>
  <c r="L16" i="7" s="1"/>
  <c r="N11" i="7"/>
  <c r="M11" i="7"/>
  <c r="L11" i="7"/>
  <c r="K11" i="7"/>
  <c r="V10" i="7"/>
  <c r="R10" i="7"/>
  <c r="J10" i="7"/>
  <c r="J11" i="7" s="1"/>
  <c r="L25" i="5"/>
  <c r="L24" i="5"/>
  <c r="L23" i="5"/>
  <c r="L21" i="5"/>
  <c r="L20" i="5"/>
  <c r="K20" i="5"/>
  <c r="V17" i="5"/>
  <c r="T17" i="5"/>
  <c r="S17" i="5"/>
  <c r="R17" i="5"/>
  <c r="Q17" i="5"/>
  <c r="P17" i="5"/>
  <c r="O17" i="5"/>
  <c r="N17" i="5"/>
  <c r="M17" i="5"/>
  <c r="L17" i="5"/>
  <c r="K17" i="5"/>
  <c r="AA16" i="5"/>
  <c r="X16" i="5"/>
  <c r="U16" i="5"/>
  <c r="T16" i="5"/>
  <c r="J16" i="5"/>
  <c r="AA15" i="5"/>
  <c r="X15" i="5"/>
  <c r="T15" i="5"/>
  <c r="J15" i="5"/>
  <c r="U15" i="5" s="1"/>
  <c r="AA14" i="5"/>
  <c r="X14" i="5"/>
  <c r="T14" i="5"/>
  <c r="J14" i="5"/>
  <c r="U14" i="5" s="1"/>
  <c r="AA13" i="5"/>
  <c r="X13" i="5"/>
  <c r="T13" i="5"/>
  <c r="U13" i="5" s="1"/>
  <c r="J13" i="5"/>
  <c r="AA12" i="5"/>
  <c r="X12" i="5"/>
  <c r="T12" i="5"/>
  <c r="J12" i="5"/>
  <c r="U12" i="5" s="1"/>
  <c r="AA11" i="5"/>
  <c r="Z11" i="5"/>
  <c r="X11" i="5"/>
  <c r="T11" i="5"/>
  <c r="J11" i="5"/>
  <c r="U11" i="5" s="1"/>
  <c r="AA10" i="5"/>
  <c r="Z10" i="5"/>
  <c r="X10" i="5"/>
  <c r="U10" i="5"/>
  <c r="T10" i="5"/>
  <c r="J10" i="5"/>
  <c r="M25" i="4"/>
  <c r="M23" i="4"/>
  <c r="M22" i="4"/>
  <c r="M21" i="4"/>
  <c r="R18" i="4"/>
  <c r="M26" i="4" s="1"/>
  <c r="Q18" i="4"/>
  <c r="M24" i="4" s="1"/>
  <c r="P18" i="4"/>
  <c r="O18" i="4"/>
  <c r="N18" i="4"/>
  <c r="M18" i="4"/>
  <c r="L18" i="4"/>
  <c r="K18" i="4"/>
  <c r="W17" i="4"/>
  <c r="S17" i="4"/>
  <c r="J17" i="4"/>
  <c r="T17" i="4" s="1"/>
  <c r="S16" i="4"/>
  <c r="J16" i="4"/>
  <c r="T16" i="4" s="1"/>
  <c r="S15" i="4"/>
  <c r="S18" i="4" s="1"/>
  <c r="J15" i="4"/>
  <c r="W14" i="4"/>
  <c r="S14" i="4"/>
  <c r="J14" i="4"/>
  <c r="T14" i="4" s="1"/>
  <c r="W13" i="4"/>
  <c r="S13" i="4"/>
  <c r="J13" i="4"/>
  <c r="T13" i="4" s="1"/>
  <c r="W12" i="4"/>
  <c r="S12" i="4"/>
  <c r="J12" i="4"/>
  <c r="W11" i="4"/>
  <c r="S11" i="4"/>
  <c r="J11" i="4"/>
  <c r="T11" i="4" s="1"/>
  <c r="S10" i="4"/>
  <c r="J10" i="4"/>
  <c r="T10" i="4" s="1"/>
  <c r="M53" i="3"/>
  <c r="M50" i="3"/>
  <c r="M49" i="3"/>
  <c r="M48" i="3"/>
  <c r="R45" i="3"/>
  <c r="M54" i="3" s="1"/>
  <c r="Q45" i="3"/>
  <c r="P45" i="3"/>
  <c r="O45" i="3"/>
  <c r="N45" i="3"/>
  <c r="M45" i="3"/>
  <c r="L45" i="3"/>
  <c r="K45" i="3"/>
  <c r="Z44" i="3"/>
  <c r="W44" i="3"/>
  <c r="S44" i="3"/>
  <c r="J44" i="3"/>
  <c r="T44" i="3" s="1"/>
  <c r="Z43" i="3"/>
  <c r="W43" i="3"/>
  <c r="S43" i="3"/>
  <c r="J43" i="3"/>
  <c r="Z42" i="3"/>
  <c r="W42" i="3"/>
  <c r="S42" i="3"/>
  <c r="J42" i="3"/>
  <c r="T42" i="3" s="1"/>
  <c r="Z41" i="3"/>
  <c r="W41" i="3"/>
  <c r="S41" i="3"/>
  <c r="J41" i="3"/>
  <c r="T41" i="3" s="1"/>
  <c r="Z40" i="3"/>
  <c r="W40" i="3"/>
  <c r="S40" i="3"/>
  <c r="J40" i="3"/>
  <c r="T40" i="3" s="1"/>
  <c r="Z39" i="3"/>
  <c r="W39" i="3"/>
  <c r="S39" i="3"/>
  <c r="J39" i="3"/>
  <c r="T39" i="3" s="1"/>
  <c r="Z38" i="3"/>
  <c r="W38" i="3"/>
  <c r="S38" i="3"/>
  <c r="J38" i="3"/>
  <c r="T38" i="3" s="1"/>
  <c r="Z37" i="3"/>
  <c r="W37" i="3"/>
  <c r="S37" i="3"/>
  <c r="J37" i="3"/>
  <c r="T37" i="3" s="1"/>
  <c r="Z36" i="3"/>
  <c r="W36" i="3"/>
  <c r="S36" i="3"/>
  <c r="J36" i="3"/>
  <c r="T36" i="3" s="1"/>
  <c r="Z35" i="3"/>
  <c r="W35" i="3"/>
  <c r="S35" i="3"/>
  <c r="J35" i="3"/>
  <c r="T35" i="3" s="1"/>
  <c r="Z34" i="3"/>
  <c r="W34" i="3"/>
  <c r="S34" i="3"/>
  <c r="J34" i="3"/>
  <c r="Z33" i="3"/>
  <c r="W33" i="3"/>
  <c r="S33" i="3"/>
  <c r="J33" i="3"/>
  <c r="T33" i="3" s="1"/>
  <c r="Z32" i="3"/>
  <c r="W32" i="3"/>
  <c r="S32" i="3"/>
  <c r="J32" i="3"/>
  <c r="T32" i="3" s="1"/>
  <c r="Z31" i="3"/>
  <c r="W31" i="3"/>
  <c r="S31" i="3"/>
  <c r="J31" i="3"/>
  <c r="T31" i="3" s="1"/>
  <c r="Z30" i="3"/>
  <c r="W30" i="3"/>
  <c r="S30" i="3"/>
  <c r="J30" i="3"/>
  <c r="T30" i="3" s="1"/>
  <c r="Z29" i="3"/>
  <c r="W29" i="3"/>
  <c r="S29" i="3"/>
  <c r="J29" i="3"/>
  <c r="T29" i="3" s="1"/>
  <c r="Z28" i="3"/>
  <c r="W28" i="3"/>
  <c r="S28" i="3"/>
  <c r="J28" i="3"/>
  <c r="T28" i="3" s="1"/>
  <c r="Z27" i="3"/>
  <c r="W27" i="3"/>
  <c r="S27" i="3"/>
  <c r="T27" i="3" s="1"/>
  <c r="J27" i="3"/>
  <c r="Z26" i="3"/>
  <c r="W26" i="3"/>
  <c r="S26" i="3"/>
  <c r="J26" i="3"/>
  <c r="T26" i="3" s="1"/>
  <c r="Z25" i="3"/>
  <c r="W25" i="3"/>
  <c r="S25" i="3"/>
  <c r="J25" i="3"/>
  <c r="T25" i="3" s="1"/>
  <c r="Z24" i="3"/>
  <c r="W24" i="3"/>
  <c r="S24" i="3"/>
  <c r="J24" i="3"/>
  <c r="T24" i="3" s="1"/>
  <c r="Z23" i="3"/>
  <c r="W23" i="3"/>
  <c r="S23" i="3"/>
  <c r="J23" i="3"/>
  <c r="T23" i="3" s="1"/>
  <c r="Z22" i="3"/>
  <c r="W22" i="3"/>
  <c r="S22" i="3"/>
  <c r="J22" i="3"/>
  <c r="T22" i="3" s="1"/>
  <c r="Z21" i="3"/>
  <c r="W21" i="3"/>
  <c r="S21" i="3"/>
  <c r="J21" i="3"/>
  <c r="T21" i="3" s="1"/>
  <c r="Z20" i="3"/>
  <c r="W20" i="3"/>
  <c r="S20" i="3"/>
  <c r="J20" i="3"/>
  <c r="T20" i="3" s="1"/>
  <c r="Z19" i="3"/>
  <c r="W19" i="3"/>
  <c r="S19" i="3"/>
  <c r="J19" i="3"/>
  <c r="T19" i="3" s="1"/>
  <c r="Z18" i="3"/>
  <c r="W18" i="3"/>
  <c r="S18" i="3"/>
  <c r="J18" i="3"/>
  <c r="Z17" i="3"/>
  <c r="W17" i="3"/>
  <c r="S17" i="3"/>
  <c r="J17" i="3"/>
  <c r="T17" i="3" s="1"/>
  <c r="Z16" i="3"/>
  <c r="W16" i="3"/>
  <c r="S16" i="3"/>
  <c r="J16" i="3"/>
  <c r="T16" i="3" s="1"/>
  <c r="Z15" i="3"/>
  <c r="W15" i="3"/>
  <c r="S15" i="3"/>
  <c r="J15" i="3"/>
  <c r="T15" i="3" s="1"/>
  <c r="Z14" i="3"/>
  <c r="W14" i="3"/>
  <c r="S14" i="3"/>
  <c r="J14" i="3"/>
  <c r="T14" i="3" s="1"/>
  <c r="Z13" i="3"/>
  <c r="W13" i="3"/>
  <c r="S13" i="3"/>
  <c r="J13" i="3"/>
  <c r="T13" i="3" s="1"/>
  <c r="Z12" i="3"/>
  <c r="W12" i="3"/>
  <c r="S12" i="3"/>
  <c r="J12" i="3"/>
  <c r="Z11" i="3"/>
  <c r="W11" i="3"/>
  <c r="S11" i="3"/>
  <c r="S45" i="3" s="1"/>
  <c r="J11" i="3"/>
  <c r="Z10" i="3"/>
  <c r="S10" i="3"/>
  <c r="J10" i="3"/>
  <c r="T10" i="3" s="1"/>
  <c r="AA119" i="2"/>
  <c r="V119" i="2"/>
  <c r="L119" i="2"/>
  <c r="K119" i="2"/>
  <c r="AA118" i="2"/>
  <c r="AA117" i="2"/>
  <c r="T117" i="2"/>
  <c r="S117" i="2"/>
  <c r="R117" i="2"/>
  <c r="Q117" i="2"/>
  <c r="P117" i="2"/>
  <c r="O117" i="2"/>
  <c r="N117" i="2"/>
  <c r="M117" i="2"/>
  <c r="L117" i="2"/>
  <c r="K117" i="2"/>
  <c r="H117" i="2"/>
  <c r="H119" i="2" s="1"/>
  <c r="G117" i="2"/>
  <c r="AA116" i="2"/>
  <c r="X116" i="2"/>
  <c r="T116" i="2"/>
  <c r="J116" i="2"/>
  <c r="AA115" i="2"/>
  <c r="X115" i="2"/>
  <c r="T115" i="2"/>
  <c r="J115" i="2"/>
  <c r="U115" i="2" s="1"/>
  <c r="AA114" i="2"/>
  <c r="X114" i="2"/>
  <c r="T114" i="2"/>
  <c r="J114" i="2"/>
  <c r="J117" i="2" s="1"/>
  <c r="AA113" i="2"/>
  <c r="AA112" i="2"/>
  <c r="J112" i="2"/>
  <c r="AA111" i="2"/>
  <c r="S111" i="2"/>
  <c r="R111" i="2"/>
  <c r="Q111" i="2"/>
  <c r="P111" i="2"/>
  <c r="O111" i="2"/>
  <c r="N111" i="2"/>
  <c r="M111" i="2"/>
  <c r="L111" i="2"/>
  <c r="K111" i="2"/>
  <c r="AB110" i="2"/>
  <c r="AC110" i="2" s="1"/>
  <c r="AA110" i="2"/>
  <c r="X110" i="2"/>
  <c r="U110" i="2"/>
  <c r="T110" i="2"/>
  <c r="J110" i="2"/>
  <c r="AA109" i="2"/>
  <c r="X109" i="2"/>
  <c r="T109" i="2"/>
  <c r="J109" i="2"/>
  <c r="U109" i="2" s="1"/>
  <c r="AA108" i="2"/>
  <c r="X108" i="2"/>
  <c r="T108" i="2"/>
  <c r="T111" i="2" s="1"/>
  <c r="J108" i="2"/>
  <c r="U108" i="2" s="1"/>
  <c r="AA107" i="2"/>
  <c r="AA106" i="2"/>
  <c r="AA105" i="2"/>
  <c r="S105" i="2"/>
  <c r="R105" i="2"/>
  <c r="Q105" i="2"/>
  <c r="P105" i="2"/>
  <c r="O105" i="2"/>
  <c r="N105" i="2"/>
  <c r="M105" i="2"/>
  <c r="M119" i="2" s="1"/>
  <c r="L105" i="2"/>
  <c r="K105" i="2"/>
  <c r="AA104" i="2"/>
  <c r="X104" i="2"/>
  <c r="T104" i="2"/>
  <c r="J104" i="2"/>
  <c r="U104" i="2" s="1"/>
  <c r="AA103" i="2"/>
  <c r="X103" i="2"/>
  <c r="T103" i="2"/>
  <c r="J103" i="2"/>
  <c r="U103" i="2" s="1"/>
  <c r="AA102" i="2"/>
  <c r="Z102" i="2"/>
  <c r="X102" i="2"/>
  <c r="T102" i="2"/>
  <c r="J102" i="2"/>
  <c r="U102" i="2" s="1"/>
  <c r="AA101" i="2"/>
  <c r="X101" i="2"/>
  <c r="T101" i="2"/>
  <c r="J101" i="2"/>
  <c r="U101" i="2" s="1"/>
  <c r="AA100" i="2"/>
  <c r="X100" i="2"/>
  <c r="T100" i="2"/>
  <c r="J100" i="2"/>
  <c r="U100" i="2" s="1"/>
  <c r="AA99" i="2"/>
  <c r="X99" i="2"/>
  <c r="T99" i="2"/>
  <c r="J99" i="2"/>
  <c r="U99" i="2" s="1"/>
  <c r="AA98" i="2"/>
  <c r="X98" i="2"/>
  <c r="T98" i="2"/>
  <c r="J98" i="2"/>
  <c r="U98" i="2" s="1"/>
  <c r="AA97" i="2"/>
  <c r="X97" i="2"/>
  <c r="T97" i="2"/>
  <c r="J97" i="2"/>
  <c r="U97" i="2" s="1"/>
  <c r="AA96" i="2"/>
  <c r="X96" i="2"/>
  <c r="T96" i="2"/>
  <c r="J96" i="2"/>
  <c r="U96" i="2" s="1"/>
  <c r="AA95" i="2"/>
  <c r="X95" i="2"/>
  <c r="T95" i="2"/>
  <c r="J95" i="2"/>
  <c r="U95" i="2" s="1"/>
  <c r="AA94" i="2"/>
  <c r="X94" i="2"/>
  <c r="T94" i="2"/>
  <c r="U94" i="2" s="1"/>
  <c r="J94" i="2"/>
  <c r="AA93" i="2"/>
  <c r="X93" i="2"/>
  <c r="T93" i="2"/>
  <c r="J93" i="2"/>
  <c r="U93" i="2" s="1"/>
  <c r="AA92" i="2"/>
  <c r="X92" i="2"/>
  <c r="T92" i="2"/>
  <c r="J92" i="2"/>
  <c r="U92" i="2" s="1"/>
  <c r="AA91" i="2"/>
  <c r="X91" i="2"/>
  <c r="U91" i="2"/>
  <c r="T91" i="2"/>
  <c r="J91" i="2"/>
  <c r="AA90" i="2"/>
  <c r="X90" i="2"/>
  <c r="T90" i="2"/>
  <c r="J90" i="2"/>
  <c r="U90" i="2" s="1"/>
  <c r="AA89" i="2"/>
  <c r="X89" i="2"/>
  <c r="T89" i="2"/>
  <c r="J89" i="2"/>
  <c r="U89" i="2" s="1"/>
  <c r="AA88" i="2"/>
  <c r="X88" i="2"/>
  <c r="T88" i="2"/>
  <c r="J88" i="2"/>
  <c r="AA87" i="2"/>
  <c r="X87" i="2"/>
  <c r="T87" i="2"/>
  <c r="J87" i="2"/>
  <c r="U87" i="2" s="1"/>
  <c r="AA86" i="2"/>
  <c r="X86" i="2"/>
  <c r="T86" i="2"/>
  <c r="J86" i="2"/>
  <c r="U86" i="2" s="1"/>
  <c r="AA85" i="2"/>
  <c r="X85" i="2"/>
  <c r="T85" i="2"/>
  <c r="J85" i="2"/>
  <c r="U85" i="2" s="1"/>
  <c r="AA84" i="2"/>
  <c r="X84" i="2"/>
  <c r="T84" i="2"/>
  <c r="J84" i="2"/>
  <c r="U84" i="2" s="1"/>
  <c r="AA83" i="2"/>
  <c r="Z83" i="2"/>
  <c r="X83" i="2"/>
  <c r="T83" i="2"/>
  <c r="J83" i="2"/>
  <c r="U83" i="2" s="1"/>
  <c r="AA82" i="2"/>
  <c r="X82" i="2"/>
  <c r="T82" i="2"/>
  <c r="J82" i="2"/>
  <c r="U82" i="2" s="1"/>
  <c r="AA81" i="2"/>
  <c r="X81" i="2"/>
  <c r="T81" i="2"/>
  <c r="J81" i="2"/>
  <c r="U81" i="2" s="1"/>
  <c r="AA80" i="2"/>
  <c r="X80" i="2"/>
  <c r="T80" i="2"/>
  <c r="J80" i="2"/>
  <c r="U80" i="2" s="1"/>
  <c r="AA79" i="2"/>
  <c r="X79" i="2"/>
  <c r="T79" i="2"/>
  <c r="J79" i="2"/>
  <c r="U79" i="2" s="1"/>
  <c r="AA78" i="2"/>
  <c r="X78" i="2"/>
  <c r="T78" i="2"/>
  <c r="J78" i="2"/>
  <c r="U78" i="2" s="1"/>
  <c r="AA77" i="2"/>
  <c r="X77" i="2"/>
  <c r="T77" i="2"/>
  <c r="J77" i="2"/>
  <c r="U77" i="2" s="1"/>
  <c r="AA76" i="2"/>
  <c r="X76" i="2"/>
  <c r="T76" i="2"/>
  <c r="J76" i="2"/>
  <c r="U76" i="2" s="1"/>
  <c r="AA75" i="2"/>
  <c r="X75" i="2"/>
  <c r="T75" i="2"/>
  <c r="U75" i="2" s="1"/>
  <c r="J75" i="2"/>
  <c r="AA74" i="2"/>
  <c r="X74" i="2"/>
  <c r="T74" i="2"/>
  <c r="J74" i="2"/>
  <c r="U74" i="2" s="1"/>
  <c r="AA73" i="2"/>
  <c r="X73" i="2"/>
  <c r="T73" i="2"/>
  <c r="J73" i="2"/>
  <c r="U73" i="2" s="1"/>
  <c r="AA72" i="2"/>
  <c r="X72" i="2"/>
  <c r="T72" i="2"/>
  <c r="J72" i="2"/>
  <c r="U72" i="2" s="1"/>
  <c r="AA71" i="2"/>
  <c r="X71" i="2"/>
  <c r="T71" i="2"/>
  <c r="J71" i="2"/>
  <c r="U71" i="2" s="1"/>
  <c r="AA70" i="2"/>
  <c r="X70" i="2"/>
  <c r="T70" i="2"/>
  <c r="J70" i="2"/>
  <c r="U70" i="2" s="1"/>
  <c r="AA69" i="2"/>
  <c r="X69" i="2"/>
  <c r="T69" i="2"/>
  <c r="J69" i="2"/>
  <c r="AA68" i="2"/>
  <c r="X68" i="2"/>
  <c r="T68" i="2"/>
  <c r="J68" i="2"/>
  <c r="U68" i="2" s="1"/>
  <c r="AA67" i="2"/>
  <c r="X67" i="2"/>
  <c r="T67" i="2"/>
  <c r="J67" i="2"/>
  <c r="U67" i="2" s="1"/>
  <c r="AB66" i="2"/>
  <c r="AC66" i="2" s="1"/>
  <c r="AA66" i="2"/>
  <c r="X66" i="2"/>
  <c r="U66" i="2"/>
  <c r="T66" i="2"/>
  <c r="J66" i="2"/>
  <c r="AA65" i="2"/>
  <c r="X65" i="2"/>
  <c r="T65" i="2"/>
  <c r="J65" i="2"/>
  <c r="U65" i="2" s="1"/>
  <c r="AA64" i="2"/>
  <c r="X64" i="2"/>
  <c r="T64" i="2"/>
  <c r="J64" i="2"/>
  <c r="U64" i="2" s="1"/>
  <c r="AA63" i="2"/>
  <c r="X63" i="2"/>
  <c r="T63" i="2"/>
  <c r="U63" i="2" s="1"/>
  <c r="J63" i="2"/>
  <c r="AA62" i="2"/>
  <c r="X62" i="2"/>
  <c r="T62" i="2"/>
  <c r="J62" i="2"/>
  <c r="U62" i="2" s="1"/>
  <c r="AA61" i="2"/>
  <c r="X61" i="2"/>
  <c r="T61" i="2"/>
  <c r="J61" i="2"/>
  <c r="U61" i="2" s="1"/>
  <c r="AA60" i="2"/>
  <c r="X60" i="2"/>
  <c r="T60" i="2"/>
  <c r="T105" i="2" s="1"/>
  <c r="J60" i="2"/>
  <c r="AA59" i="2"/>
  <c r="X59" i="2"/>
  <c r="T59" i="2"/>
  <c r="J59" i="2"/>
  <c r="U59" i="2" s="1"/>
  <c r="AA58" i="2"/>
  <c r="AA57" i="2"/>
  <c r="AA56" i="2"/>
  <c r="S56" i="2"/>
  <c r="R56" i="2"/>
  <c r="Q56" i="2"/>
  <c r="P56" i="2"/>
  <c r="O56" i="2"/>
  <c r="O119" i="2" s="1"/>
  <c r="N123" i="2" s="1"/>
  <c r="N56" i="2"/>
  <c r="N119" i="2" s="1"/>
  <c r="M56" i="2"/>
  <c r="L56" i="2"/>
  <c r="K56" i="2"/>
  <c r="AA55" i="2"/>
  <c r="X55" i="2"/>
  <c r="T55" i="2"/>
  <c r="J55" i="2"/>
  <c r="U55" i="2" s="1"/>
  <c r="AA54" i="2"/>
  <c r="X54" i="2"/>
  <c r="T54" i="2"/>
  <c r="J54" i="2"/>
  <c r="U54" i="2" s="1"/>
  <c r="AA53" i="2"/>
  <c r="X53" i="2"/>
  <c r="T53" i="2"/>
  <c r="J53" i="2"/>
  <c r="AA52" i="2"/>
  <c r="X52" i="2"/>
  <c r="T52" i="2"/>
  <c r="J52" i="2"/>
  <c r="U52" i="2" s="1"/>
  <c r="AA51" i="2"/>
  <c r="X51" i="2"/>
  <c r="T51" i="2"/>
  <c r="J51" i="2"/>
  <c r="U51" i="2" s="1"/>
  <c r="AB50" i="2"/>
  <c r="AC50" i="2" s="1"/>
  <c r="AA50" i="2"/>
  <c r="X50" i="2"/>
  <c r="T50" i="2"/>
  <c r="J50" i="2"/>
  <c r="U50" i="2" s="1"/>
  <c r="AA49" i="2"/>
  <c r="X49" i="2"/>
  <c r="T49" i="2"/>
  <c r="J49" i="2"/>
  <c r="U49" i="2" s="1"/>
  <c r="AA48" i="2"/>
  <c r="X48" i="2"/>
  <c r="T48" i="2"/>
  <c r="J48" i="2"/>
  <c r="U48" i="2" s="1"/>
  <c r="AA47" i="2"/>
  <c r="Z47" i="2"/>
  <c r="X47" i="2"/>
  <c r="T47" i="2"/>
  <c r="J47" i="2"/>
  <c r="U47" i="2" s="1"/>
  <c r="AA46" i="2"/>
  <c r="X46" i="2"/>
  <c r="T46" i="2"/>
  <c r="J46" i="2"/>
  <c r="U46" i="2" s="1"/>
  <c r="AA45" i="2"/>
  <c r="X45" i="2"/>
  <c r="T45" i="2"/>
  <c r="J45" i="2"/>
  <c r="U45" i="2" s="1"/>
  <c r="AA44" i="2"/>
  <c r="X44" i="2"/>
  <c r="T44" i="2"/>
  <c r="J44" i="2"/>
  <c r="AA43" i="2"/>
  <c r="X43" i="2"/>
  <c r="T43" i="2"/>
  <c r="J43" i="2"/>
  <c r="U43" i="2" s="1"/>
  <c r="AA42" i="2"/>
  <c r="X42" i="2"/>
  <c r="T42" i="2"/>
  <c r="T56" i="2" s="1"/>
  <c r="J42" i="2"/>
  <c r="U42" i="2" s="1"/>
  <c r="AA41" i="2"/>
  <c r="X41" i="2"/>
  <c r="T41" i="2"/>
  <c r="J41" i="2"/>
  <c r="U41" i="2" s="1"/>
  <c r="AA40" i="2"/>
  <c r="X40" i="2"/>
  <c r="T40" i="2"/>
  <c r="J40" i="2"/>
  <c r="AA39" i="2"/>
  <c r="AA38" i="2"/>
  <c r="AA37" i="2"/>
  <c r="S37" i="2"/>
  <c r="S119" i="2" s="1"/>
  <c r="N126" i="2" s="1"/>
  <c r="R37" i="2"/>
  <c r="R119" i="2" s="1"/>
  <c r="N124" i="2" s="1"/>
  <c r="Q37" i="2"/>
  <c r="Q119" i="2" s="1"/>
  <c r="N125" i="2" s="1"/>
  <c r="P37" i="2"/>
  <c r="P119" i="2" s="1"/>
  <c r="N127" i="2" s="1"/>
  <c r="O37" i="2"/>
  <c r="N37" i="2"/>
  <c r="M37" i="2"/>
  <c r="L37" i="2"/>
  <c r="K37" i="2"/>
  <c r="AA36" i="2"/>
  <c r="X36" i="2"/>
  <c r="T36" i="2"/>
  <c r="F36" i="2"/>
  <c r="J36" i="2" s="1"/>
  <c r="U36" i="2" s="1"/>
  <c r="AA35" i="2"/>
  <c r="X35" i="2"/>
  <c r="T35" i="2"/>
  <c r="J35" i="2"/>
  <c r="AA34" i="2"/>
  <c r="X34" i="2"/>
  <c r="T34" i="2"/>
  <c r="J34" i="2"/>
  <c r="U34" i="2" s="1"/>
  <c r="AA33" i="2"/>
  <c r="X33" i="2"/>
  <c r="T33" i="2"/>
  <c r="J33" i="2"/>
  <c r="U33" i="2" s="1"/>
  <c r="AA32" i="2"/>
  <c r="X32" i="2"/>
  <c r="T32" i="2"/>
  <c r="J32" i="2"/>
  <c r="U32" i="2" s="1"/>
  <c r="AA31" i="2"/>
  <c r="X31" i="2"/>
  <c r="T31" i="2"/>
  <c r="J31" i="2"/>
  <c r="U31" i="2" s="1"/>
  <c r="AA30" i="2"/>
  <c r="X30" i="2"/>
  <c r="T30" i="2"/>
  <c r="J30" i="2"/>
  <c r="U30" i="2" s="1"/>
  <c r="AE29" i="2"/>
  <c r="AA29" i="2"/>
  <c r="X29" i="2"/>
  <c r="T29" i="2"/>
  <c r="J29" i="2"/>
  <c r="U29" i="2" s="1"/>
  <c r="AG28" i="2"/>
  <c r="AE28" i="2"/>
  <c r="AA28" i="2"/>
  <c r="X28" i="2"/>
  <c r="T28" i="2"/>
  <c r="J28" i="2"/>
  <c r="U28" i="2" s="1"/>
  <c r="AG27" i="2"/>
  <c r="AA27" i="2"/>
  <c r="X27" i="2"/>
  <c r="T27" i="2"/>
  <c r="F27" i="2"/>
  <c r="J27" i="2" s="1"/>
  <c r="U27" i="2" s="1"/>
  <c r="AA26" i="2"/>
  <c r="X26" i="2"/>
  <c r="T26" i="2"/>
  <c r="F26" i="2"/>
  <c r="J26" i="2" s="1"/>
  <c r="U26" i="2" s="1"/>
  <c r="AA25" i="2"/>
  <c r="X25" i="2"/>
  <c r="T25" i="2"/>
  <c r="J25" i="2"/>
  <c r="U25" i="2" s="1"/>
  <c r="AA24" i="2"/>
  <c r="X24" i="2"/>
  <c r="T24" i="2"/>
  <c r="J24" i="2"/>
  <c r="U24" i="2" s="1"/>
  <c r="AA23" i="2"/>
  <c r="X23" i="2"/>
  <c r="T23" i="2"/>
  <c r="J23" i="2"/>
  <c r="U23" i="2" s="1"/>
  <c r="AA22" i="2"/>
  <c r="X22" i="2"/>
  <c r="T22" i="2"/>
  <c r="J22" i="2"/>
  <c r="U22" i="2" s="1"/>
  <c r="AA21" i="2"/>
  <c r="X21" i="2"/>
  <c r="T21" i="2"/>
  <c r="F21" i="2"/>
  <c r="J21" i="2" s="1"/>
  <c r="U21" i="2" s="1"/>
  <c r="AA20" i="2"/>
  <c r="X20" i="2"/>
  <c r="T20" i="2"/>
  <c r="J20" i="2"/>
  <c r="U20" i="2" s="1"/>
  <c r="AD19" i="2"/>
  <c r="AD28" i="2" s="1"/>
  <c r="AA19" i="2"/>
  <c r="Z19" i="2"/>
  <c r="X19" i="2"/>
  <c r="T19" i="2"/>
  <c r="J19" i="2"/>
  <c r="U19" i="2" s="1"/>
  <c r="AA18" i="2"/>
  <c r="X18" i="2"/>
  <c r="T18" i="2"/>
  <c r="J18" i="2"/>
  <c r="U18" i="2" s="1"/>
  <c r="AA17" i="2"/>
  <c r="X17" i="2"/>
  <c r="T17" i="2"/>
  <c r="J17" i="2"/>
  <c r="U17" i="2" s="1"/>
  <c r="AA16" i="2"/>
  <c r="X16" i="2"/>
  <c r="T16" i="2"/>
  <c r="J16" i="2"/>
  <c r="U16" i="2" s="1"/>
  <c r="AA15" i="2"/>
  <c r="X15" i="2"/>
  <c r="T15" i="2"/>
  <c r="J15" i="2"/>
  <c r="U15" i="2" s="1"/>
  <c r="AC14" i="2"/>
  <c r="AB14" i="2"/>
  <c r="AA14" i="2"/>
  <c r="X14" i="2"/>
  <c r="T14" i="2"/>
  <c r="J14" i="2"/>
  <c r="U14" i="2" s="1"/>
  <c r="AA13" i="2"/>
  <c r="X13" i="2"/>
  <c r="T13" i="2"/>
  <c r="J13" i="2"/>
  <c r="U13" i="2" s="1"/>
  <c r="AA12" i="2"/>
  <c r="X12" i="2"/>
  <c r="T12" i="2"/>
  <c r="T37" i="2" s="1"/>
  <c r="T119" i="2" s="1"/>
  <c r="J12" i="2"/>
  <c r="U12" i="2" s="1"/>
  <c r="V262" i="1"/>
  <c r="V245" i="1"/>
  <c r="L244" i="1"/>
  <c r="S236" i="1"/>
  <c r="R236" i="1"/>
  <c r="Q236" i="1"/>
  <c r="P236" i="1"/>
  <c r="O236" i="1"/>
  <c r="L243" i="1" s="1"/>
  <c r="N236" i="1"/>
  <c r="L242" i="1" s="1"/>
  <c r="M236" i="1"/>
  <c r="L236" i="1"/>
  <c r="L239" i="1" s="1"/>
  <c r="K236" i="1"/>
  <c r="D251" i="1" s="1"/>
  <c r="Y235" i="1"/>
  <c r="Z235" i="1" s="1"/>
  <c r="W235" i="1"/>
  <c r="X235" i="1" s="1"/>
  <c r="T235" i="1"/>
  <c r="U235" i="1" s="1"/>
  <c r="Y234" i="1"/>
  <c r="Z234" i="1" s="1"/>
  <c r="X234" i="1"/>
  <c r="W234" i="1"/>
  <c r="T234" i="1"/>
  <c r="U234" i="1" s="1"/>
  <c r="Y233" i="1"/>
  <c r="Z233" i="1" s="1"/>
  <c r="X233" i="1"/>
  <c r="W233" i="1"/>
  <c r="T233" i="1"/>
  <c r="U233" i="1" s="1"/>
  <c r="Y232" i="1"/>
  <c r="Z232" i="1" s="1"/>
  <c r="W232" i="1"/>
  <c r="X232" i="1" s="1"/>
  <c r="T232" i="1"/>
  <c r="U232" i="1" s="1"/>
  <c r="Z231" i="1"/>
  <c r="Y231" i="1"/>
  <c r="W231" i="1"/>
  <c r="X231" i="1" s="1"/>
  <c r="T231" i="1"/>
  <c r="U231" i="1" s="1"/>
  <c r="Z230" i="1"/>
  <c r="Y230" i="1"/>
  <c r="W230" i="1"/>
  <c r="X230" i="1" s="1"/>
  <c r="T230" i="1"/>
  <c r="U230" i="1" s="1"/>
  <c r="Y229" i="1"/>
  <c r="Z229" i="1" s="1"/>
  <c r="W229" i="1"/>
  <c r="X229" i="1" s="1"/>
  <c r="U229" i="1"/>
  <c r="T229" i="1"/>
  <c r="Y228" i="1"/>
  <c r="Z228" i="1" s="1"/>
  <c r="W228" i="1"/>
  <c r="X228" i="1" s="1"/>
  <c r="U228" i="1"/>
  <c r="T228" i="1"/>
  <c r="Y227" i="1"/>
  <c r="Z227" i="1" s="1"/>
  <c r="W227" i="1"/>
  <c r="X227" i="1" s="1"/>
  <c r="T227" i="1"/>
  <c r="L209" i="1"/>
  <c r="L207" i="1"/>
  <c r="L206" i="1"/>
  <c r="L204" i="1"/>
  <c r="S201" i="1"/>
  <c r="R201" i="1"/>
  <c r="Q201" i="1"/>
  <c r="P201" i="1"/>
  <c r="O201" i="1"/>
  <c r="L208" i="1" s="1"/>
  <c r="N201" i="1"/>
  <c r="M201" i="1"/>
  <c r="L201" i="1"/>
  <c r="K201" i="1"/>
  <c r="D216" i="1" s="1"/>
  <c r="Z200" i="1"/>
  <c r="Y200" i="1"/>
  <c r="X200" i="1"/>
  <c r="W200" i="1"/>
  <c r="T200" i="1"/>
  <c r="U200" i="1" s="1"/>
  <c r="Y199" i="1"/>
  <c r="Z199" i="1" s="1"/>
  <c r="X199" i="1"/>
  <c r="W199" i="1"/>
  <c r="T199" i="1"/>
  <c r="U199" i="1" s="1"/>
  <c r="Y198" i="1"/>
  <c r="Z198" i="1" s="1"/>
  <c r="W198" i="1"/>
  <c r="X198" i="1" s="1"/>
  <c r="T198" i="1"/>
  <c r="T201" i="1" s="1"/>
  <c r="L177" i="1"/>
  <c r="L176" i="1"/>
  <c r="T169" i="1"/>
  <c r="S169" i="1"/>
  <c r="R169" i="1"/>
  <c r="Q169" i="1"/>
  <c r="L174" i="1" s="1"/>
  <c r="P169" i="1"/>
  <c r="O169" i="1"/>
  <c r="N169" i="1"/>
  <c r="L175" i="1" s="1"/>
  <c r="M169" i="1"/>
  <c r="L169" i="1"/>
  <c r="L172" i="1" s="1"/>
  <c r="K169" i="1"/>
  <c r="Y168" i="1"/>
  <c r="Z168" i="1" s="1"/>
  <c r="X168" i="1"/>
  <c r="W168" i="1"/>
  <c r="T168" i="1"/>
  <c r="U168" i="1" s="1"/>
  <c r="U169" i="1" s="1"/>
  <c r="U170" i="1" s="1"/>
  <c r="L178" i="1" s="1"/>
  <c r="K160" i="1"/>
  <c r="D156" i="1"/>
  <c r="L144" i="1"/>
  <c r="K143" i="1"/>
  <c r="S141" i="1"/>
  <c r="R141" i="1"/>
  <c r="Q141" i="1"/>
  <c r="P141" i="1"/>
  <c r="L149" i="1" s="1"/>
  <c r="O141" i="1"/>
  <c r="L148" i="1" s="1"/>
  <c r="N141" i="1"/>
  <c r="L147" i="1" s="1"/>
  <c r="M141" i="1"/>
  <c r="L141" i="1"/>
  <c r="K141" i="1"/>
  <c r="T140" i="1"/>
  <c r="U140" i="1" s="1"/>
  <c r="Y139" i="1"/>
  <c r="Z139" i="1" s="1"/>
  <c r="W139" i="1"/>
  <c r="X139" i="1" s="1"/>
  <c r="U139" i="1"/>
  <c r="T139" i="1"/>
  <c r="Y138" i="1"/>
  <c r="Z138" i="1" s="1"/>
  <c r="W138" i="1"/>
  <c r="X138" i="1" s="1"/>
  <c r="U138" i="1"/>
  <c r="T138" i="1"/>
  <c r="Y137" i="1"/>
  <c r="Z137" i="1" s="1"/>
  <c r="W137" i="1"/>
  <c r="X137" i="1" s="1"/>
  <c r="T137" i="1"/>
  <c r="U137" i="1" s="1"/>
  <c r="Y136" i="1"/>
  <c r="Z136" i="1" s="1"/>
  <c r="X136" i="1"/>
  <c r="W136" i="1"/>
  <c r="T136" i="1"/>
  <c r="U136" i="1" s="1"/>
  <c r="Y135" i="1"/>
  <c r="Z135" i="1" s="1"/>
  <c r="X135" i="1"/>
  <c r="W135" i="1"/>
  <c r="T135" i="1"/>
  <c r="U135" i="1" s="1"/>
  <c r="Y134" i="1"/>
  <c r="Z134" i="1" s="1"/>
  <c r="W134" i="1"/>
  <c r="X134" i="1" s="1"/>
  <c r="T134" i="1"/>
  <c r="U134" i="1" s="1"/>
  <c r="Z133" i="1"/>
  <c r="Y133" i="1"/>
  <c r="W133" i="1"/>
  <c r="X133" i="1" s="1"/>
  <c r="T133" i="1"/>
  <c r="U133" i="1" s="1"/>
  <c r="Z132" i="1"/>
  <c r="Y132" i="1"/>
  <c r="W132" i="1"/>
  <c r="X132" i="1" s="1"/>
  <c r="T132" i="1"/>
  <c r="U132" i="1" s="1"/>
  <c r="Y131" i="1"/>
  <c r="Z131" i="1" s="1"/>
  <c r="W131" i="1"/>
  <c r="X131" i="1" s="1"/>
  <c r="U131" i="1"/>
  <c r="T131" i="1"/>
  <c r="Y130" i="1"/>
  <c r="Z130" i="1" s="1"/>
  <c r="W130" i="1"/>
  <c r="X130" i="1" s="1"/>
  <c r="U130" i="1"/>
  <c r="T130" i="1"/>
  <c r="Y129" i="1"/>
  <c r="Z129" i="1" s="1"/>
  <c r="W129" i="1"/>
  <c r="X129" i="1" s="1"/>
  <c r="T129" i="1"/>
  <c r="T141" i="1" s="1"/>
  <c r="K121" i="1"/>
  <c r="L110" i="1"/>
  <c r="L109" i="1"/>
  <c r="L108" i="1"/>
  <c r="L105" i="1"/>
  <c r="K104" i="1"/>
  <c r="S102" i="1"/>
  <c r="R102" i="1"/>
  <c r="Q102" i="1"/>
  <c r="P102" i="1"/>
  <c r="O102" i="1"/>
  <c r="N102" i="1"/>
  <c r="M102" i="1"/>
  <c r="L102" i="1"/>
  <c r="K102" i="1"/>
  <c r="D117" i="1" s="1"/>
  <c r="Y101" i="1"/>
  <c r="Z101" i="1" s="1"/>
  <c r="X101" i="1"/>
  <c r="W101" i="1"/>
  <c r="T101" i="1"/>
  <c r="U101" i="1" s="1"/>
  <c r="Y100" i="1"/>
  <c r="Z100" i="1" s="1"/>
  <c r="W100" i="1"/>
  <c r="X100" i="1" s="1"/>
  <c r="T100" i="1"/>
  <c r="U100" i="1" s="1"/>
  <c r="Z99" i="1"/>
  <c r="Y99" i="1"/>
  <c r="W99" i="1"/>
  <c r="X99" i="1" s="1"/>
  <c r="T99" i="1"/>
  <c r="U99" i="1" s="1"/>
  <c r="Z98" i="1"/>
  <c r="Y98" i="1"/>
  <c r="W98" i="1"/>
  <c r="X98" i="1" s="1"/>
  <c r="T98" i="1"/>
  <c r="A94" i="1"/>
  <c r="A126" i="1" s="1"/>
  <c r="A165" i="1" s="1"/>
  <c r="A194" i="1" s="1"/>
  <c r="A224" i="1" s="1"/>
  <c r="L72" i="1"/>
  <c r="K71" i="1"/>
  <c r="K88" i="1" s="1"/>
  <c r="S69" i="1"/>
  <c r="R69" i="1"/>
  <c r="L73" i="1" s="1"/>
  <c r="Q69" i="1"/>
  <c r="L74" i="1" s="1"/>
  <c r="O69" i="1"/>
  <c r="L76" i="1" s="1"/>
  <c r="N69" i="1"/>
  <c r="L75" i="1" s="1"/>
  <c r="M69" i="1"/>
  <c r="L69" i="1"/>
  <c r="K69" i="1"/>
  <c r="D84" i="1" s="1"/>
  <c r="Y68" i="1"/>
  <c r="Z68" i="1" s="1"/>
  <c r="X68" i="1"/>
  <c r="W68" i="1"/>
  <c r="T68" i="1"/>
  <c r="U68" i="1" s="1"/>
  <c r="Y67" i="1"/>
  <c r="Z67" i="1" s="1"/>
  <c r="W67" i="1"/>
  <c r="X67" i="1" s="1"/>
  <c r="T67" i="1"/>
  <c r="U67" i="1" s="1"/>
  <c r="Z66" i="1"/>
  <c r="Y66" i="1"/>
  <c r="W66" i="1"/>
  <c r="X66" i="1" s="1"/>
  <c r="T66" i="1"/>
  <c r="U66" i="1" s="1"/>
  <c r="Z65" i="1"/>
  <c r="Y65" i="1"/>
  <c r="W65" i="1"/>
  <c r="X65" i="1" s="1"/>
  <c r="T65" i="1"/>
  <c r="U65" i="1" s="1"/>
  <c r="Z64" i="1"/>
  <c r="Y64" i="1"/>
  <c r="W64" i="1"/>
  <c r="X64" i="1" s="1"/>
  <c r="U64" i="1"/>
  <c r="T64" i="1"/>
  <c r="Y63" i="1"/>
  <c r="Z63" i="1" s="1"/>
  <c r="W63" i="1"/>
  <c r="X63" i="1" s="1"/>
  <c r="U63" i="1"/>
  <c r="T63" i="1"/>
  <c r="Y62" i="1"/>
  <c r="Z62" i="1" s="1"/>
  <c r="W62" i="1"/>
  <c r="X62" i="1" s="1"/>
  <c r="T62" i="1"/>
  <c r="U62" i="1" s="1"/>
  <c r="P62" i="1"/>
  <c r="P69" i="1" s="1"/>
  <c r="L77" i="1" s="1"/>
  <c r="Y61" i="1"/>
  <c r="Z61" i="1" s="1"/>
  <c r="W61" i="1"/>
  <c r="X61" i="1" s="1"/>
  <c r="T61" i="1"/>
  <c r="U61" i="1" s="1"/>
  <c r="Y60" i="1"/>
  <c r="Z60" i="1" s="1"/>
  <c r="X60" i="1"/>
  <c r="W60" i="1"/>
  <c r="T60" i="1"/>
  <c r="U60" i="1" s="1"/>
  <c r="Y59" i="1"/>
  <c r="Z59" i="1" s="1"/>
  <c r="X59" i="1"/>
  <c r="W59" i="1"/>
  <c r="T59" i="1"/>
  <c r="U59" i="1" s="1"/>
  <c r="Y58" i="1"/>
  <c r="Z58" i="1" s="1"/>
  <c r="W58" i="1"/>
  <c r="X58" i="1" s="1"/>
  <c r="U58" i="1"/>
  <c r="T58" i="1"/>
  <c r="Z57" i="1"/>
  <c r="Y57" i="1"/>
  <c r="W57" i="1"/>
  <c r="X57" i="1" s="1"/>
  <c r="T57" i="1"/>
  <c r="U57" i="1" s="1"/>
  <c r="Z56" i="1"/>
  <c r="Y56" i="1"/>
  <c r="W56" i="1"/>
  <c r="X56" i="1" s="1"/>
  <c r="T56" i="1"/>
  <c r="U56" i="1" s="1"/>
  <c r="Y55" i="1"/>
  <c r="Z55" i="1" s="1"/>
  <c r="W55" i="1"/>
  <c r="X55" i="1" s="1"/>
  <c r="U55" i="1"/>
  <c r="T55" i="1"/>
  <c r="Y54" i="1"/>
  <c r="Z54" i="1" s="1"/>
  <c r="W54" i="1"/>
  <c r="X54" i="1" s="1"/>
  <c r="U54" i="1"/>
  <c r="T54" i="1"/>
  <c r="Y53" i="1"/>
  <c r="Z53" i="1" s="1"/>
  <c r="W53" i="1"/>
  <c r="X53" i="1" s="1"/>
  <c r="T53" i="1"/>
  <c r="U53" i="1" s="1"/>
  <c r="Y52" i="1"/>
  <c r="Z52" i="1" s="1"/>
  <c r="X52" i="1"/>
  <c r="W52" i="1"/>
  <c r="T52" i="1"/>
  <c r="U52" i="1" s="1"/>
  <c r="Y51" i="1"/>
  <c r="Z51" i="1" s="1"/>
  <c r="X51" i="1"/>
  <c r="W51" i="1"/>
  <c r="T51" i="1"/>
  <c r="U51" i="1" s="1"/>
  <c r="Y50" i="1"/>
  <c r="Z50" i="1" s="1"/>
  <c r="W50" i="1"/>
  <c r="X50" i="1" s="1"/>
  <c r="T50" i="1"/>
  <c r="U50" i="1" s="1"/>
  <c r="Z49" i="1"/>
  <c r="Y49" i="1"/>
  <c r="W49" i="1"/>
  <c r="X49" i="1" s="1"/>
  <c r="T49" i="1"/>
  <c r="Z48" i="1"/>
  <c r="Y48" i="1"/>
  <c r="W48" i="1"/>
  <c r="X48" i="1" s="1"/>
  <c r="T48" i="1"/>
  <c r="U48" i="1" s="1"/>
  <c r="Y47" i="1"/>
  <c r="Z47" i="1" s="1"/>
  <c r="W47" i="1"/>
  <c r="X47" i="1" s="1"/>
  <c r="U47" i="1"/>
  <c r="T47" i="1"/>
  <c r="Y46" i="1"/>
  <c r="Z46" i="1" s="1"/>
  <c r="W46" i="1"/>
  <c r="X46" i="1" s="1"/>
  <c r="U46" i="1"/>
  <c r="T46" i="1"/>
  <c r="A43" i="1"/>
  <c r="L27" i="1"/>
  <c r="L26" i="1"/>
  <c r="L25" i="1"/>
  <c r="L24" i="1"/>
  <c r="V19" i="1"/>
  <c r="S19" i="1"/>
  <c r="R19" i="1"/>
  <c r="L23" i="1" s="1"/>
  <c r="Q19" i="1"/>
  <c r="P19" i="1"/>
  <c r="L264" i="1" s="1"/>
  <c r="M264" i="1" s="1"/>
  <c r="O19" i="1"/>
  <c r="N19" i="1"/>
  <c r="M19" i="1"/>
  <c r="L19" i="1"/>
  <c r="L22" i="1" s="1"/>
  <c r="K19" i="1"/>
  <c r="D34" i="1" s="1"/>
  <c r="Y18" i="1"/>
  <c r="Z18" i="1" s="1"/>
  <c r="W18" i="1"/>
  <c r="X18" i="1" s="1"/>
  <c r="T18" i="1"/>
  <c r="U18" i="1" s="1"/>
  <c r="Y17" i="1"/>
  <c r="Z17" i="1" s="1"/>
  <c r="X17" i="1"/>
  <c r="W17" i="1"/>
  <c r="T17" i="1"/>
  <c r="U17" i="1" s="1"/>
  <c r="Y16" i="1"/>
  <c r="Z16" i="1" s="1"/>
  <c r="X16" i="1"/>
  <c r="W16" i="1"/>
  <c r="T16" i="1"/>
  <c r="U16" i="1" s="1"/>
  <c r="Y15" i="1"/>
  <c r="Z15" i="1" s="1"/>
  <c r="W15" i="1"/>
  <c r="X15" i="1" s="1"/>
  <c r="T15" i="1"/>
  <c r="U15" i="1" s="1"/>
  <c r="Z14" i="1"/>
  <c r="Y14" i="1"/>
  <c r="W14" i="1"/>
  <c r="X14" i="1" s="1"/>
  <c r="T14" i="1"/>
  <c r="U14" i="1" s="1"/>
  <c r="Z13" i="1"/>
  <c r="Y13" i="1"/>
  <c r="W13" i="1"/>
  <c r="X13" i="1" s="1"/>
  <c r="T13" i="1"/>
  <c r="U13" i="1" s="1"/>
  <c r="Y12" i="1"/>
  <c r="Z12" i="1" s="1"/>
  <c r="W12" i="1"/>
  <c r="X12" i="1" s="1"/>
  <c r="U12" i="1"/>
  <c r="T12" i="1"/>
  <c r="Y11" i="1"/>
  <c r="Z11" i="1" s="1"/>
  <c r="W11" i="1"/>
  <c r="X11" i="1" s="1"/>
  <c r="U11" i="1"/>
  <c r="T11" i="1"/>
  <c r="Y10" i="1"/>
  <c r="Z10" i="1" s="1"/>
  <c r="W10" i="1"/>
  <c r="X10" i="1" s="1"/>
  <c r="T10" i="1"/>
  <c r="U10" i="1" s="1"/>
  <c r="Y9" i="1"/>
  <c r="Z9" i="1" s="1"/>
  <c r="X9" i="1"/>
  <c r="W9" i="1"/>
  <c r="T9" i="1"/>
  <c r="U9" i="1" s="1"/>
  <c r="Y8" i="1"/>
  <c r="Z8" i="1" s="1"/>
  <c r="X8" i="1"/>
  <c r="W8" i="1"/>
  <c r="T8" i="1"/>
  <c r="U8" i="1" s="1"/>
  <c r="Y7" i="1"/>
  <c r="Z7" i="1" s="1"/>
  <c r="W7" i="1"/>
  <c r="X7" i="1" s="1"/>
  <c r="T7" i="1"/>
  <c r="X16" i="6"/>
  <c r="S16" i="6"/>
  <c r="P16" i="6"/>
  <c r="L22" i="6" s="1"/>
  <c r="O16" i="6"/>
  <c r="L21" i="6" s="1"/>
  <c r="N16" i="6"/>
  <c r="M16" i="6"/>
  <c r="L20" i="6" s="1"/>
  <c r="X15" i="6"/>
  <c r="X14" i="6"/>
  <c r="P14" i="6"/>
  <c r="O14" i="6"/>
  <c r="N14" i="6"/>
  <c r="M14" i="6"/>
  <c r="L14" i="6"/>
  <c r="L16" i="6" s="1"/>
  <c r="K14" i="6"/>
  <c r="K16" i="6" s="1"/>
  <c r="L19" i="6" s="1"/>
  <c r="J14" i="6"/>
  <c r="J16" i="6" s="1"/>
  <c r="X13" i="6"/>
  <c r="W13" i="6"/>
  <c r="U13" i="6"/>
  <c r="Q13" i="6"/>
  <c r="J13" i="6"/>
  <c r="R13" i="6" s="1"/>
  <c r="X12" i="6"/>
  <c r="W12" i="6"/>
  <c r="U12" i="6"/>
  <c r="Q12" i="6"/>
  <c r="Q14" i="6" s="1"/>
  <c r="Q16" i="6" s="1"/>
  <c r="J12" i="6"/>
  <c r="R12" i="6" s="1"/>
  <c r="R14" i="6" s="1"/>
  <c r="R16" i="6" s="1"/>
  <c r="F25" i="7" l="1"/>
  <c r="K13" i="7"/>
  <c r="K30" i="7" s="1"/>
  <c r="S10" i="7"/>
  <c r="S11" i="7" s="1"/>
  <c r="J17" i="5"/>
  <c r="F31" i="5"/>
  <c r="K19" i="5"/>
  <c r="K36" i="5" s="1"/>
  <c r="U17" i="5"/>
  <c r="J18" i="4"/>
  <c r="T12" i="4"/>
  <c r="T15" i="4"/>
  <c r="T18" i="4" s="1"/>
  <c r="T18" i="3"/>
  <c r="T34" i="3"/>
  <c r="T43" i="3"/>
  <c r="J45" i="3"/>
  <c r="F60" i="3" s="1"/>
  <c r="L47" i="3"/>
  <c r="L65" i="3" s="1"/>
  <c r="T11" i="3"/>
  <c r="T45" i="3" s="1"/>
  <c r="T12" i="3"/>
  <c r="U116" i="2"/>
  <c r="U111" i="2"/>
  <c r="U88" i="2"/>
  <c r="U69" i="2"/>
  <c r="J105" i="2"/>
  <c r="J56" i="2"/>
  <c r="U44" i="2"/>
  <c r="U53" i="2"/>
  <c r="U35" i="2"/>
  <c r="U37" i="2"/>
  <c r="N122" i="2"/>
  <c r="U60" i="2"/>
  <c r="U105" i="2" s="1"/>
  <c r="J111" i="2"/>
  <c r="U114" i="2"/>
  <c r="U117" i="2" s="1"/>
  <c r="J37" i="2"/>
  <c r="J119" i="2" s="1"/>
  <c r="U40" i="2"/>
  <c r="U56" i="2" s="1"/>
  <c r="U69" i="1"/>
  <c r="U70" i="1" s="1"/>
  <c r="L78" i="1" s="1"/>
  <c r="L88" i="1" s="1"/>
  <c r="T236" i="1"/>
  <c r="U227" i="1"/>
  <c r="U236" i="1" s="1"/>
  <c r="U237" i="1" s="1"/>
  <c r="L245" i="1" s="1"/>
  <c r="L255" i="1" s="1"/>
  <c r="L188" i="1"/>
  <c r="U198" i="1"/>
  <c r="U201" i="1" s="1"/>
  <c r="U202" i="1" s="1"/>
  <c r="L210" i="1" s="1"/>
  <c r="K171" i="1"/>
  <c r="K188" i="1" s="1"/>
  <c r="D184" i="1"/>
  <c r="T69" i="1"/>
  <c r="U49" i="1"/>
  <c r="L220" i="1"/>
  <c r="T19" i="1"/>
  <c r="T102" i="1"/>
  <c r="U129" i="1"/>
  <c r="U141" i="1" s="1"/>
  <c r="U142" i="1" s="1"/>
  <c r="L150" i="1" s="1"/>
  <c r="L160" i="1" s="1"/>
  <c r="K238" i="1"/>
  <c r="K255" i="1" s="1"/>
  <c r="K21" i="1"/>
  <c r="K38" i="1" s="1"/>
  <c r="U98" i="1"/>
  <c r="U102" i="1" s="1"/>
  <c r="U103" i="1" s="1"/>
  <c r="L111" i="1" s="1"/>
  <c r="L121" i="1" s="1"/>
  <c r="K203" i="1"/>
  <c r="K220" i="1" s="1"/>
  <c r="U7" i="1"/>
  <c r="U19" i="1" s="1"/>
  <c r="U20" i="1" s="1"/>
  <c r="F28" i="6"/>
  <c r="K18" i="6"/>
  <c r="K33" i="6" s="1"/>
  <c r="R17" i="6"/>
  <c r="L23" i="6"/>
  <c r="L33" i="6"/>
  <c r="L20" i="7" l="1"/>
  <c r="L30" i="7" s="1"/>
  <c r="S12" i="7"/>
  <c r="L31" i="7"/>
  <c r="L26" i="5"/>
  <c r="L36" i="5" s="1"/>
  <c r="U18" i="5"/>
  <c r="L37" i="5"/>
  <c r="M27" i="4"/>
  <c r="M38" i="4" s="1"/>
  <c r="T19" i="4"/>
  <c r="F33" i="4"/>
  <c r="L20" i="4"/>
  <c r="L38" i="4" s="1"/>
  <c r="T46" i="3"/>
  <c r="M55" i="3"/>
  <c r="M65" i="3" s="1"/>
  <c r="M66" i="3"/>
  <c r="U119" i="2"/>
  <c r="U120" i="2" s="1"/>
  <c r="N128" i="2" s="1"/>
  <c r="F133" i="2"/>
  <c r="M121" i="2"/>
  <c r="M138" i="2" s="1"/>
  <c r="N138" i="2"/>
  <c r="L28" i="1"/>
  <c r="L38" i="1" s="1"/>
  <c r="Y249" i="1"/>
  <c r="L34" i="6"/>
  <c r="N139" i="2" l="1"/>
</calcChain>
</file>

<file path=xl/sharedStrings.xml><?xml version="1.0" encoding="utf-8"?>
<sst xmlns="http://schemas.openxmlformats.org/spreadsheetml/2006/main" count="1578" uniqueCount="420">
  <si>
    <t>CENTRAL PHILIPPINES STATE UNIVERSITY</t>
  </si>
  <si>
    <t>GENERAL PAYROLL</t>
  </si>
  <si>
    <t>College of Agriculture &amp; Forestry</t>
  </si>
  <si>
    <t>We acknowledge receipt of the sum shown opposite our names as full compensation for services rendered for the period stated.</t>
  </si>
  <si>
    <t>PAGE 1 OF 1</t>
  </si>
  <si>
    <t>NO</t>
  </si>
  <si>
    <t>NAMES</t>
  </si>
  <si>
    <t>DESIGNATION</t>
  </si>
  <si>
    <t>MONTHLY SALARY</t>
  </si>
  <si>
    <t>NO OF RENDERED DAYS</t>
  </si>
  <si>
    <t>RATE PER DAY</t>
  </si>
  <si>
    <t>DEDUCTION: LATE/UNDERTIME</t>
  </si>
  <si>
    <t>SALARY DIFFERENTIAL</t>
  </si>
  <si>
    <t>EARNED FOR THE PERIOD</t>
  </si>
  <si>
    <t>NSCA MPC</t>
  </si>
  <si>
    <t>SSS</t>
  </si>
  <si>
    <t xml:space="preserve">PROJECT </t>
  </si>
  <si>
    <t>TAX (3%)</t>
  </si>
  <si>
    <t>TAX (2%)</t>
  </si>
  <si>
    <t>TOTAL DEDUCTION</t>
  </si>
  <si>
    <t>NET AMOUNT RECEIVED</t>
  </si>
  <si>
    <t>REMARKS</t>
  </si>
  <si>
    <t>1</t>
  </si>
  <si>
    <t>ABELLO, Abegail</t>
  </si>
  <si>
    <t>Part-time Instructor</t>
  </si>
  <si>
    <t>WITH BIR SWORN DECLARATION</t>
  </si>
  <si>
    <t>2</t>
  </si>
  <si>
    <t>CABAHUG,Christine</t>
  </si>
  <si>
    <t>3</t>
  </si>
  <si>
    <t xml:space="preserve">CABUAL, James Matthew </t>
  </si>
  <si>
    <t>4</t>
  </si>
  <si>
    <t xml:space="preserve">CELIS, Debray Ross </t>
  </si>
  <si>
    <t>5</t>
  </si>
  <si>
    <t>DECENA, Geline L</t>
  </si>
  <si>
    <t>6</t>
  </si>
  <si>
    <t>DEGUIT, Gerald</t>
  </si>
  <si>
    <t>7</t>
  </si>
  <si>
    <t>JONG, Angel S.</t>
  </si>
  <si>
    <t>8</t>
  </si>
  <si>
    <t>LUNTAYAO, Jhon Salver</t>
  </si>
  <si>
    <t>9</t>
  </si>
  <si>
    <t>MAJA, Michelle I</t>
  </si>
  <si>
    <t>10</t>
  </si>
  <si>
    <t>11</t>
  </si>
  <si>
    <t>REYES, Joe Marie</t>
  </si>
  <si>
    <t>12</t>
  </si>
  <si>
    <t>SERILLA, Joevani T</t>
  </si>
  <si>
    <t>Prepared By:</t>
  </si>
  <si>
    <t>RECAPITULATION:</t>
  </si>
  <si>
    <t xml:space="preserve">Debit </t>
  </si>
  <si>
    <t>Credit</t>
  </si>
  <si>
    <t>Approved for Payment:</t>
  </si>
  <si>
    <t>50211990 00</t>
  </si>
  <si>
    <t>Other Professional Services</t>
  </si>
  <si>
    <t>20201010 00</t>
  </si>
  <si>
    <t>Due to Bir</t>
  </si>
  <si>
    <t>RODELYN A. PERANIA</t>
  </si>
  <si>
    <t>29999990 00</t>
  </si>
  <si>
    <t>Other Payables (Grad Sch)</t>
  </si>
  <si>
    <t>ALADINO C. MORACA, Ph.D.</t>
  </si>
  <si>
    <t>Administrative Aide VI- Payroll In-Charge</t>
  </si>
  <si>
    <t>Other Payables (NSCA MPC)</t>
  </si>
  <si>
    <t>SUC President II</t>
  </si>
  <si>
    <t>Other Payables (SSS)</t>
  </si>
  <si>
    <t>10305990 00</t>
  </si>
  <si>
    <t>Certified Correct: Services have been duly rendered as stated.</t>
  </si>
  <si>
    <t>10102020 24</t>
  </si>
  <si>
    <t>Cash in Bank, LC, LBP</t>
  </si>
  <si>
    <t xml:space="preserve"> </t>
  </si>
  <si>
    <t>SHENNA MAE Z. TANILON, RPM,LPT</t>
  </si>
  <si>
    <r>
      <t>CERTIFIED</t>
    </r>
    <r>
      <rPr>
        <sz val="8"/>
        <color theme="1"/>
        <rFont val="Arial"/>
        <family val="2"/>
      </rPr>
      <t>:  That each employee whose name appears above has been  paid the amount indicated through direct credit to their respective accounts.</t>
    </r>
  </si>
  <si>
    <t xml:space="preserve">      OIC-Head of Human Resource Management Office</t>
  </si>
  <si>
    <t>Certified: Funds available in the amount of P</t>
  </si>
  <si>
    <t>ERNIE C. ONGAO</t>
  </si>
  <si>
    <t>_______________</t>
  </si>
  <si>
    <t>ERFA B. GETONZO, CPA</t>
  </si>
  <si>
    <t>Administrative Officer V/Cashier III</t>
  </si>
  <si>
    <t xml:space="preserve">Date </t>
  </si>
  <si>
    <t>Accountant III</t>
  </si>
  <si>
    <t>College of Arts &amp; Sciences</t>
  </si>
  <si>
    <t>PROJECT</t>
  </si>
  <si>
    <t>ABANTO, James G.</t>
  </si>
  <si>
    <t>AGUILLON, Mark Anthony</t>
  </si>
  <si>
    <t>ALTERADO, Joshua M.</t>
  </si>
  <si>
    <t>BENZUELA, Angela O.</t>
  </si>
  <si>
    <t>CARALDE, Manilyn G.</t>
  </si>
  <si>
    <t>ESCOSAR,Melbin B.</t>
  </si>
  <si>
    <t>MILLANG, Lailanne P.</t>
  </si>
  <si>
    <t>MONTESINO, Jobert D</t>
  </si>
  <si>
    <t>NOQUILLA, Hector Jr.</t>
  </si>
  <si>
    <t>13</t>
  </si>
  <si>
    <t>14</t>
  </si>
  <si>
    <t>TABLIGAN, J Chlaire Dem G.</t>
  </si>
  <si>
    <t>15</t>
  </si>
  <si>
    <t>VARGAS, Belle Grace T.</t>
  </si>
  <si>
    <t>16</t>
  </si>
  <si>
    <t>VELASCO, Chi</t>
  </si>
  <si>
    <t>17</t>
  </si>
  <si>
    <t>VILLACAMPA, Jilmarie M</t>
  </si>
  <si>
    <t>Other Payables (Project)</t>
  </si>
  <si>
    <t>College of Criminology Justice Education</t>
  </si>
  <si>
    <t>CASABUENA, Rona May</t>
  </si>
  <si>
    <t>Part-time instructor</t>
  </si>
  <si>
    <t>FRANGA, Jeally</t>
  </si>
  <si>
    <t>College of Teacher Education</t>
  </si>
  <si>
    <t>BENZUELA, Maria Lynne O.</t>
  </si>
  <si>
    <t>BOLO, Margie</t>
  </si>
  <si>
    <t>DELA CRUZ, Christine Kate</t>
  </si>
  <si>
    <t>EVANGELIO, Jey-An M</t>
  </si>
  <si>
    <t>GEBUSION, Rey Joemar C.</t>
  </si>
  <si>
    <t>LLEGO, Maximo Jr A.</t>
  </si>
  <si>
    <t>MAIGI, Andrea T.</t>
  </si>
  <si>
    <t>PABALINAS, Carla Marie</t>
  </si>
  <si>
    <t>RETARINO, Donna V.</t>
  </si>
  <si>
    <t>SESDOYRO, Jessa Mae</t>
  </si>
  <si>
    <t>TEJADA, Kevinson C.</t>
  </si>
  <si>
    <t>TOBIAS, Carlo G.</t>
  </si>
  <si>
    <t>College of Computer Studies</t>
  </si>
  <si>
    <t>College of Business &amp; Management</t>
  </si>
  <si>
    <t>GABAYOYO, Raffy</t>
  </si>
  <si>
    <t xml:space="preserve">Part-time Instructor </t>
  </si>
  <si>
    <t>BORBON, Rona M.</t>
  </si>
  <si>
    <t>MALBA, MAY ANN V.</t>
  </si>
  <si>
    <t>College of Engineering</t>
  </si>
  <si>
    <t>ARNIBAL, Jewowie A.</t>
  </si>
  <si>
    <t>CAPADUCIO, Jerry June</t>
  </si>
  <si>
    <t>CORONADO, Lyndon</t>
  </si>
  <si>
    <t>DERIADA, Cloue C.</t>
  </si>
  <si>
    <t>PAINGANAN, Jellie Mae D.</t>
  </si>
  <si>
    <t>PANGANIBAN, Angelica</t>
  </si>
  <si>
    <t>TIÑA, John Paul D.</t>
  </si>
  <si>
    <t>VILLAFLOR, June P.</t>
  </si>
  <si>
    <t>VILLAFLOR, Reyn Marie G.</t>
  </si>
  <si>
    <t>PHILHEALTH</t>
  </si>
  <si>
    <t>PAG IBIG</t>
  </si>
  <si>
    <t>July 1-15,2026</t>
  </si>
  <si>
    <t>SALARY JUNE 29-30,2026</t>
  </si>
  <si>
    <t>PAG-IBIG</t>
  </si>
  <si>
    <t>GRAD SCHOOL</t>
  </si>
  <si>
    <t>GENONGGALING, Anna Marie</t>
  </si>
  <si>
    <t>20201030 00</t>
  </si>
  <si>
    <t xml:space="preserve">Due to Pag-Ibig </t>
  </si>
  <si>
    <t>20201040 00</t>
  </si>
  <si>
    <t>Due to PhilHealth</t>
  </si>
  <si>
    <t>CANOSA, Maia Nicolete</t>
  </si>
  <si>
    <t>CANOY, Ella Joy M.</t>
  </si>
  <si>
    <t>CONDEZ, Charry Ann C.</t>
  </si>
  <si>
    <t>ELECCION, Lemuel Angelo</t>
  </si>
  <si>
    <t>FAUSTO, Marylourd J.</t>
  </si>
  <si>
    <t>GONZALEZ, Edsel</t>
  </si>
  <si>
    <t>MILLENDEZ, Quirr A</t>
  </si>
  <si>
    <t>ORBE, Joanelle Grace M.</t>
  </si>
  <si>
    <t>18</t>
  </si>
  <si>
    <t>PACLAUNA, Keycee L.</t>
  </si>
  <si>
    <t>19</t>
  </si>
  <si>
    <t>20</t>
  </si>
  <si>
    <t>TRINO, Rich Ann A.</t>
  </si>
  <si>
    <t>21</t>
  </si>
  <si>
    <t>22</t>
  </si>
  <si>
    <t>23</t>
  </si>
  <si>
    <t>SAGUN, Lois Davis B.</t>
  </si>
  <si>
    <t>VILLAGRACIA, Rosemarie</t>
  </si>
  <si>
    <t xml:space="preserve">QUINCO, Rosanna </t>
  </si>
  <si>
    <t xml:space="preserve">SALARY DIFFERENTIAL </t>
  </si>
  <si>
    <t>Summer Class Salary Differential P562.50</t>
  </si>
  <si>
    <t>For the period July 1-15,2026</t>
  </si>
  <si>
    <t xml:space="preserve"> NO</t>
  </si>
  <si>
    <t>SPECIFIC FUND SOURCE</t>
  </si>
  <si>
    <t xml:space="preserve"> GROSS INCOME FOR THE PERIOD</t>
  </si>
  <si>
    <t>DEDUCTION: LATE</t>
  </si>
  <si>
    <t>DEDUCTION: ABSENT</t>
  </si>
  <si>
    <t>TAX</t>
  </si>
  <si>
    <t xml:space="preserve">SSS </t>
  </si>
  <si>
    <t xml:space="preserve">NSCA MPC </t>
  </si>
  <si>
    <t xml:space="preserve">PROJECT  </t>
  </si>
  <si>
    <t>TOTAL</t>
  </si>
  <si>
    <t>NAME</t>
  </si>
  <si>
    <t>GAS - ADMINISTRATIVE</t>
  </si>
  <si>
    <t>Alemorin, Daisy</t>
  </si>
  <si>
    <t>Job Order</t>
  </si>
  <si>
    <t>Common Fund</t>
  </si>
  <si>
    <t>Alicaway, Vivien B</t>
  </si>
  <si>
    <t>Besana, Victoria P.</t>
  </si>
  <si>
    <t>NOT REQUIRED/SENIOR CITIZEN</t>
  </si>
  <si>
    <t>De Guzman, Debbie</t>
  </si>
  <si>
    <t>Garde, Sheena Mae</t>
  </si>
  <si>
    <t>Servidad, Shantel</t>
  </si>
  <si>
    <t>Pepito, Mary Ann</t>
  </si>
  <si>
    <t>Allocation for Instruction</t>
  </si>
  <si>
    <t>Alonzagay, Felizardo Jr</t>
  </si>
  <si>
    <t>Allocation for Administrative</t>
  </si>
  <si>
    <t>Braza, Steven</t>
  </si>
  <si>
    <t>Casipong, Rey Y.</t>
  </si>
  <si>
    <t>Deocades, Lloyd</t>
  </si>
  <si>
    <t>Eufre, Mary Grace R.</t>
  </si>
  <si>
    <t>Flores, Eric John</t>
  </si>
  <si>
    <t>Flores, Jesa E.</t>
  </si>
  <si>
    <t>Gantalao, Wilfred L</t>
  </si>
  <si>
    <t>Hulguin, Rengie D</t>
  </si>
  <si>
    <t>Inventor, Nestor Jr. P.</t>
  </si>
  <si>
    <t>Palangga, Cherbert M</t>
  </si>
  <si>
    <t>Panes, Alexander Jaime F.</t>
  </si>
  <si>
    <t>Pontino, Felizen Van Joel A</t>
  </si>
  <si>
    <t>Ramos, Gifty Grace P.</t>
  </si>
  <si>
    <t>Sedario, Julius</t>
  </si>
  <si>
    <t>Suanque, Marite Joane Rose N.</t>
  </si>
  <si>
    <t>Suanque, Maydale Reu</t>
  </si>
  <si>
    <t>Yanson, Noel Jr P</t>
  </si>
  <si>
    <t>Sub Total (GAS)</t>
  </si>
  <si>
    <t>STO-AUXILIARY</t>
  </si>
  <si>
    <t>Dita, Danilo B.</t>
  </si>
  <si>
    <t>Admission Fee</t>
  </si>
  <si>
    <t>Lasquite, Ronilo Jr D.</t>
  </si>
  <si>
    <t>Tabian, Peter Niel T.</t>
  </si>
  <si>
    <t>Guidance Fee</t>
  </si>
  <si>
    <t>Villacarlos, Leody Mae T.</t>
  </si>
  <si>
    <t>Banjao, Kent Galdren Y.</t>
  </si>
  <si>
    <t>Medical-Dental Fund</t>
  </si>
  <si>
    <t>Duran, Randy</t>
  </si>
  <si>
    <t>Rejas, Angel B.</t>
  </si>
  <si>
    <t>Ponce, Kenlyn B.</t>
  </si>
  <si>
    <t>Registration Fund</t>
  </si>
  <si>
    <t>Tormon, Genalene A.</t>
  </si>
  <si>
    <t>Bendanillo, Bernie</t>
  </si>
  <si>
    <t>Tuition-Production</t>
  </si>
  <si>
    <t>Libradilla, Raymund</t>
  </si>
  <si>
    <t>Medes, Mario</t>
  </si>
  <si>
    <t>Pialago, Mary Ann A.</t>
  </si>
  <si>
    <t>Piera, Maylyn P.</t>
  </si>
  <si>
    <t>Potestas, Edwin T.</t>
  </si>
  <si>
    <t>Vergara, Alberto</t>
  </si>
  <si>
    <t>NOT REQUIRED/SENIOR CITIZEN/NO SSS</t>
  </si>
  <si>
    <t>Sub Total (STO-AUXILIARY)</t>
  </si>
  <si>
    <t>OPTN-HIGHER ED.</t>
  </si>
  <si>
    <t>Dalmacio, Sanny</t>
  </si>
  <si>
    <t>Devero, Maevil Grace M</t>
  </si>
  <si>
    <t>Lacida, Maria A.</t>
  </si>
  <si>
    <t>Monteclaro, Carisha Ann</t>
  </si>
  <si>
    <t>Pineda, Brenda N.</t>
  </si>
  <si>
    <t>Romero, Jade J</t>
  </si>
  <si>
    <t>Amoyoc, Leizel R</t>
  </si>
  <si>
    <t>Athletic Fund-Local</t>
  </si>
  <si>
    <t>Robles, Elmer</t>
  </si>
  <si>
    <t>Abejero, Robert</t>
  </si>
  <si>
    <t>CAF Lab Fund</t>
  </si>
  <si>
    <t>Bendanillo, Bengie</t>
  </si>
  <si>
    <t>Blase, Segundito</t>
  </si>
  <si>
    <t xml:space="preserve">Camral, Josesanie </t>
  </si>
  <si>
    <t>Flora, Benjie</t>
  </si>
  <si>
    <t>Flores, Warlito</t>
  </si>
  <si>
    <t>Gale, Jolito</t>
  </si>
  <si>
    <t>Gomez, Joe</t>
  </si>
  <si>
    <t>Gomez, Ray Allan S</t>
  </si>
  <si>
    <t>Librado, Remias</t>
  </si>
  <si>
    <t>Medes, Ledio</t>
  </si>
  <si>
    <t>Suelto, Jane F.</t>
  </si>
  <si>
    <t>Morales, Mark James E.</t>
  </si>
  <si>
    <t>CCJE Lab Fund</t>
  </si>
  <si>
    <t>Plural, Vilmar</t>
  </si>
  <si>
    <t>Abello, Mary Ann</t>
  </si>
  <si>
    <t>Graduate School-Tuition</t>
  </si>
  <si>
    <t>Alvarez, Blessy Grace</t>
  </si>
  <si>
    <t>Caiso, Kier John N.</t>
  </si>
  <si>
    <t>Castillo, Jeriel B</t>
  </si>
  <si>
    <t>Gamboa, Jelwin</t>
  </si>
  <si>
    <t>Gayem, Reineille Bryan A.</t>
  </si>
  <si>
    <t>Gloria, Franz Abram P.</t>
  </si>
  <si>
    <t>Hormigoso, Charlene Grace G.</t>
  </si>
  <si>
    <t>Jiz, Bless Joy L</t>
  </si>
  <si>
    <t>Monteclaro, Wendell C.</t>
  </si>
  <si>
    <t>Movillon, Melissa C.</t>
  </si>
  <si>
    <t>Talita, Welly Jhay</t>
  </si>
  <si>
    <t>IMPDC</t>
  </si>
  <si>
    <t>Abarillo, Analyn A.</t>
  </si>
  <si>
    <t>Internet Fund</t>
  </si>
  <si>
    <t>Abril, Edwin Jr. T.</t>
  </si>
  <si>
    <t>Dalmacio, Joshua Kyle L.</t>
  </si>
  <si>
    <t>Hulguin, Maximo Jr. D.</t>
  </si>
  <si>
    <t>Onding, RIco D.</t>
  </si>
  <si>
    <t>Palma, Gmar C.</t>
  </si>
  <si>
    <t>Alcongga, Hernani B.</t>
  </si>
  <si>
    <t>Lab Fund PE &amp; Criminology</t>
  </si>
  <si>
    <t>Poledo, Roseni</t>
  </si>
  <si>
    <t>Lab Fund PE &amp; Hotel Income</t>
  </si>
  <si>
    <t>paid in advance</t>
  </si>
  <si>
    <t>Marcito, Eugene C.</t>
  </si>
  <si>
    <t>NSTP Fund</t>
  </si>
  <si>
    <t>Caballes, Jenny Rose</t>
  </si>
  <si>
    <t>Student Affairs Fee</t>
  </si>
  <si>
    <t>Tabligan, Joey</t>
  </si>
  <si>
    <t>Encaja, Romeo O. Jr.</t>
  </si>
  <si>
    <t>Tuition Special Project (Licensure)</t>
  </si>
  <si>
    <t>Sub Total (OPTN-HIGHER ED.)</t>
  </si>
  <si>
    <t>OPTN-RESEARCH</t>
  </si>
  <si>
    <t>Samillano, Elaine Jane T.</t>
  </si>
  <si>
    <t>Allocation for Research</t>
  </si>
  <si>
    <t>Hulguin, Joseph D.</t>
  </si>
  <si>
    <t>Tuition-Research</t>
  </si>
  <si>
    <t>San Jose, Pierre Gabriel B.</t>
  </si>
  <si>
    <t>Sub Total (OPTN-RESEARCH)</t>
  </si>
  <si>
    <t>OPTN-EXTENSION</t>
  </si>
  <si>
    <t xml:space="preserve">                                                                                                                                                                     </t>
  </si>
  <si>
    <t>Lustiguer, Stephen C.</t>
  </si>
  <si>
    <t>Tuition-Extension</t>
  </si>
  <si>
    <t>Navanes, Jovic</t>
  </si>
  <si>
    <t>Tayhon, Federico C</t>
  </si>
  <si>
    <t>Allocation for Extension</t>
  </si>
  <si>
    <t>Sub Total (OPTN-EXTENSION)</t>
  </si>
  <si>
    <t>GRAND TOTAL</t>
  </si>
  <si>
    <t>DEBIT</t>
  </si>
  <si>
    <t>CREDIT</t>
  </si>
  <si>
    <t>APPROVED FOR PAYMENT:</t>
  </si>
  <si>
    <t xml:space="preserve">Prepared By: </t>
  </si>
  <si>
    <t>50216010 01</t>
  </si>
  <si>
    <t>Labor and Wages</t>
  </si>
  <si>
    <t>Due to BIR</t>
  </si>
  <si>
    <t>ALADINO C. MORACA, Ph. D.</t>
  </si>
  <si>
    <t>RODELYN A, PERANIA</t>
  </si>
  <si>
    <t>Administrative Aide VI/Payroll In-Charge</t>
  </si>
  <si>
    <r>
      <rPr>
        <b/>
        <sz val="10"/>
        <color theme="1"/>
        <rFont val="Aptos Narrow"/>
        <family val="2"/>
        <scheme val="minor"/>
      </rPr>
      <t>Certified Correct:</t>
    </r>
    <r>
      <rPr>
        <sz val="10"/>
        <color theme="1"/>
        <rFont val="Aptos Narrow"/>
        <family val="2"/>
        <scheme val="minor"/>
      </rPr>
      <t xml:space="preserve"> Services have been duly rendered as stated.</t>
    </r>
  </si>
  <si>
    <t>Cash, Local Currency</t>
  </si>
  <si>
    <t>SHENNA MAE Z. TANILON, RPm, LPT</t>
  </si>
  <si>
    <t>CERTIFIED:  That each employee whose name appears above has been  paid the amount indicated through direct credit to their respective accounts.</t>
  </si>
  <si>
    <t>Administrative Officer IV/OIC-HRMO</t>
  </si>
  <si>
    <r>
      <rPr>
        <b/>
        <sz val="10"/>
        <color theme="1"/>
        <rFont val="Aptos Narrow"/>
        <family val="2"/>
        <scheme val="minor"/>
      </rPr>
      <t xml:space="preserve">CERTIFIED: </t>
    </r>
    <r>
      <rPr>
        <sz val="10"/>
        <color theme="1"/>
        <rFont val="Aptos Narrow"/>
        <family val="2"/>
        <scheme val="minor"/>
      </rPr>
      <t xml:space="preserve">Funds available in the amount of </t>
    </r>
    <r>
      <rPr>
        <b/>
        <sz val="10"/>
        <color theme="1"/>
        <rFont val="Aptos Narrow"/>
        <family val="2"/>
        <scheme val="minor"/>
      </rPr>
      <t>P</t>
    </r>
  </si>
  <si>
    <t xml:space="preserve">                      ERNIE C. ONGAO</t>
  </si>
  <si>
    <t xml:space="preserve">                            Administrative Officer V/ Cashier III</t>
  </si>
  <si>
    <t>Date</t>
  </si>
  <si>
    <t>Salary Diff March 16-31,2026</t>
  </si>
  <si>
    <t>DEDUCTION</t>
  </si>
  <si>
    <t>TAX 5%</t>
  </si>
  <si>
    <t>TAX 3%</t>
  </si>
  <si>
    <t>TAX 2%</t>
  </si>
  <si>
    <t>Alterado, Vanessa M.</t>
  </si>
  <si>
    <t>GAA</t>
  </si>
  <si>
    <t>Ape, Rodrigo Jr. B.</t>
  </si>
  <si>
    <t>Apostolero, Rico T.</t>
  </si>
  <si>
    <t>Bañas, Rechie T.</t>
  </si>
  <si>
    <t>Bernabe, Romeo Jr.</t>
  </si>
  <si>
    <t>Ca-ang, Kate P.</t>
  </si>
  <si>
    <t>Cabu-al, Mikee B.</t>
  </si>
  <si>
    <t>Caldalzo, Earl</t>
  </si>
  <si>
    <t>Campaner, Kimberly B.</t>
  </si>
  <si>
    <t>Capangpangan, Honojario</t>
  </si>
  <si>
    <t>SENIOR CITIZEN</t>
  </si>
  <si>
    <t>Cataloctocan, Jade C.</t>
  </si>
  <si>
    <t>Catipay, Jerlyn C.</t>
  </si>
  <si>
    <t>Dalmacio, Klydz</t>
  </si>
  <si>
    <t>Dogue, Ronald O.</t>
  </si>
  <si>
    <t>Dorado, Elyne Joy</t>
  </si>
  <si>
    <t>Española, Sheila May</t>
  </si>
  <si>
    <t>Gaviola, Lucia P.</t>
  </si>
  <si>
    <t>Hernandez, Jeelo S.</t>
  </si>
  <si>
    <t>Jalandoni, Melowin</t>
  </si>
  <si>
    <t>Jamandre, Edmundo Jr. F.</t>
  </si>
  <si>
    <t>Mamar, Raven Rich Mathew C.</t>
  </si>
  <si>
    <t>Medes, Rinalie N.</t>
  </si>
  <si>
    <t>Navarra, Ma. Christina S.</t>
  </si>
  <si>
    <t>Oleverio, Antonio C.</t>
  </si>
  <si>
    <t>Palma, Charlynn</t>
  </si>
  <si>
    <t>Parame, Maeriane Rose P.</t>
  </si>
  <si>
    <t>Potestas, July</t>
  </si>
  <si>
    <t>Quillano, Elesa L.</t>
  </si>
  <si>
    <t>Siroy, Antonio Jr. G.</t>
  </si>
  <si>
    <t>Siroy, Brendon Claude M.</t>
  </si>
  <si>
    <t>Tianzon, Carlo D,</t>
  </si>
  <si>
    <t>Titong, Lesley Marie B.</t>
  </si>
  <si>
    <t>Tongcopanon, Aliah Dhon</t>
  </si>
  <si>
    <t>Villanueva, Jonalyn E.</t>
  </si>
  <si>
    <t>Zamora, AIilyn G.</t>
  </si>
  <si>
    <t>Other Payable(SSS)</t>
  </si>
  <si>
    <t>Other Payable(PROJECT)</t>
  </si>
  <si>
    <t>Other Payable(NSCA MPC)</t>
  </si>
  <si>
    <t xml:space="preserve">                                                                        </t>
  </si>
  <si>
    <t>Cash in Bank-LC, LBP</t>
  </si>
  <si>
    <r>
      <rPr>
        <b/>
        <sz val="10"/>
        <rFont val="Arial"/>
        <family val="2"/>
      </rPr>
      <t xml:space="preserve">CERTIFIED: </t>
    </r>
    <r>
      <rPr>
        <sz val="10"/>
        <rFont val="Arial"/>
        <family val="2"/>
      </rPr>
      <t xml:space="preserve"> That each employee whose name appears above has been  paid the amount indicated through direct credit to their respective accounts.</t>
    </r>
  </si>
  <si>
    <t xml:space="preserve">    Administrative Officer V/ Cashier III</t>
  </si>
  <si>
    <t>TOTAL:</t>
  </si>
  <si>
    <t xml:space="preserve"> FUND SOURCE</t>
  </si>
  <si>
    <t>Alicaway, Kimberly B.</t>
  </si>
  <si>
    <t>Construction of Grad School-Phse I Additional Works</t>
  </si>
  <si>
    <t>Arguilles, Jean Glover S.</t>
  </si>
  <si>
    <t>Cabrillos, Richmund Carl C.</t>
  </si>
  <si>
    <t xml:space="preserve"> Construction of Athlete's Housing</t>
  </si>
  <si>
    <t>Dacillo, Jeannery Joy A.</t>
  </si>
  <si>
    <t xml:space="preserve"> Construction of Science Complex-Phase 2</t>
  </si>
  <si>
    <t>Diaz, Liezel S.</t>
  </si>
  <si>
    <t>Getonzo, Ian Lee</t>
  </si>
  <si>
    <t>Jadolos, Recca Jane D.</t>
  </si>
  <si>
    <t>Mambalos, John Patrick N.</t>
  </si>
  <si>
    <r>
      <rPr>
        <b/>
        <sz val="9"/>
        <color theme="1"/>
        <rFont val="Aptos Narrow"/>
        <family val="2"/>
        <scheme val="minor"/>
      </rPr>
      <t>Certified Correct:</t>
    </r>
    <r>
      <rPr>
        <sz val="9"/>
        <color theme="1"/>
        <rFont val="Aptos Narrow"/>
        <family val="2"/>
        <scheme val="minor"/>
      </rPr>
      <t xml:space="preserve"> Services have been duly rendered as stated.</t>
    </r>
  </si>
  <si>
    <r>
      <rPr>
        <b/>
        <sz val="9"/>
        <rFont val="Arial"/>
        <family val="2"/>
      </rPr>
      <t xml:space="preserve">CERTIFIED: </t>
    </r>
    <r>
      <rPr>
        <sz val="9"/>
        <rFont val="Arial"/>
        <family val="2"/>
      </rPr>
      <t xml:space="preserve"> That each employee whose name appears above has been  paid the amount indicated through direct credit to their respective accounts.</t>
    </r>
  </si>
  <si>
    <r>
      <rPr>
        <b/>
        <sz val="9"/>
        <color theme="1"/>
        <rFont val="Aptos Narrow"/>
        <family val="2"/>
        <scheme val="minor"/>
      </rPr>
      <t xml:space="preserve">CERTIFIED: </t>
    </r>
    <r>
      <rPr>
        <sz val="9"/>
        <color theme="1"/>
        <rFont val="Aptos Narrow"/>
        <family val="2"/>
        <scheme val="minor"/>
      </rPr>
      <t xml:space="preserve">Funds available in the amount of </t>
    </r>
    <r>
      <rPr>
        <b/>
        <sz val="9"/>
        <color theme="1"/>
        <rFont val="Aptos Narrow"/>
        <family val="2"/>
        <scheme val="minor"/>
      </rPr>
      <t>P</t>
    </r>
  </si>
  <si>
    <t>FUND SOURCE</t>
  </si>
  <si>
    <t>TAX REFUND March 16-31,2026 3%</t>
  </si>
  <si>
    <t>TAX REFUND March 16-31,2026 2%</t>
  </si>
  <si>
    <t>Bolaño, Vilma</t>
  </si>
  <si>
    <t>Income from Dormitory</t>
  </si>
  <si>
    <t>Cadavid, Rolindo O.</t>
  </si>
  <si>
    <t>Water System</t>
  </si>
  <si>
    <t>Campus, Michael</t>
  </si>
  <si>
    <t xml:space="preserve">Camral, Jovelyn </t>
  </si>
  <si>
    <t>CPSU Food Services</t>
  </si>
  <si>
    <t>Cosio, Helen</t>
  </si>
  <si>
    <t>Jalapa, Lelibeth E.</t>
  </si>
  <si>
    <t>Mangao, Nathaniel</t>
  </si>
  <si>
    <t xml:space="preserve">   </t>
  </si>
  <si>
    <t>Other Payable(Project)</t>
  </si>
  <si>
    <t>SUPPORT SERVICE PERSONNEL</t>
  </si>
  <si>
    <t>OFFICE/COLLEGE</t>
  </si>
  <si>
    <t>SAL DIFF</t>
  </si>
  <si>
    <t>SSS APRIL</t>
  </si>
  <si>
    <t>BETIOS, ROCEL</t>
  </si>
  <si>
    <t>International Affairs and Linkages Office</t>
  </si>
  <si>
    <t>FLOR, Fahren F.</t>
  </si>
  <si>
    <t>Total</t>
  </si>
  <si>
    <t>GELLO-AGAN, Clifford O.</t>
  </si>
  <si>
    <t>Project Based</t>
  </si>
  <si>
    <t>Other Payable</t>
  </si>
  <si>
    <t>Other Payable(Grad Sch.)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</si>
</sst>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roadway"/>
      <family val="5"/>
    </font>
    <font>
      <sz val="10"/>
      <color theme="1"/>
      <name val="Arial"/>
      <family val="2"/>
    </font>
    <font>
      <sz val="7.5"/>
      <color theme="1"/>
      <name val="Arial"/>
      <family val="2"/>
    </font>
    <font>
      <b/>
      <sz val="10"/>
      <color theme="1"/>
      <name val="Broadway BT"/>
      <family val="5"/>
    </font>
    <font>
      <b/>
      <sz val="9"/>
      <color theme="1"/>
      <name val="BroadwayP"/>
      <family val="2"/>
    </font>
    <font>
      <b/>
      <sz val="7.5"/>
      <color theme="1"/>
      <name val="Arial"/>
      <family val="2"/>
    </font>
    <font>
      <b/>
      <sz val="8"/>
      <color theme="1"/>
      <name val="Arial"/>
      <family val="2"/>
    </font>
    <font>
      <sz val="6.5"/>
      <color theme="1"/>
      <name val="Arial"/>
      <family val="2"/>
    </font>
    <font>
      <sz val="7"/>
      <color theme="1"/>
      <name val="Arial"/>
      <family val="2"/>
    </font>
    <font>
      <b/>
      <i/>
      <sz val="6.5"/>
      <color theme="1"/>
      <name val="Arial"/>
      <family val="2"/>
    </font>
    <font>
      <sz val="6.5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7"/>
      <color theme="1"/>
      <name val="Arial"/>
      <family val="2"/>
    </font>
    <font>
      <sz val="8"/>
      <color theme="1"/>
      <name val="Arial"/>
      <family val="2"/>
    </font>
    <font>
      <b/>
      <sz val="5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 Narrow"/>
      <family val="2"/>
    </font>
    <font>
      <sz val="6"/>
      <color theme="1"/>
      <name val="Arial"/>
      <family val="2"/>
    </font>
    <font>
      <sz val="10"/>
      <name val="Arial"/>
      <family val="2"/>
    </font>
    <font>
      <b/>
      <u val="doubleAccounting"/>
      <sz val="8"/>
      <color theme="1"/>
      <name val="Arial"/>
      <family val="2"/>
    </font>
    <font>
      <b/>
      <sz val="9"/>
      <color theme="1"/>
      <name val="Arial"/>
      <family val="2"/>
    </font>
    <font>
      <sz val="8"/>
      <name val="Arial"/>
      <family val="2"/>
    </font>
    <font>
      <sz val="8"/>
      <color rgb="FFEAEAEA"/>
      <name val="Arial"/>
      <family val="2"/>
    </font>
    <font>
      <b/>
      <sz val="4"/>
      <color theme="1"/>
      <name val="Arial"/>
      <family val="2"/>
    </font>
    <font>
      <b/>
      <sz val="9"/>
      <name val="Broadway BT"/>
      <family val="5"/>
    </font>
    <font>
      <sz val="10"/>
      <name val="Bauhaus 93"/>
      <family val="5"/>
    </font>
    <font>
      <b/>
      <sz val="7.5"/>
      <name val="Arial"/>
      <family val="2"/>
    </font>
    <font>
      <sz val="7.5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8"/>
      <name val="Arial"/>
      <family val="2"/>
    </font>
    <font>
      <b/>
      <sz val="6.5"/>
      <name val="Arial"/>
      <family val="2"/>
    </font>
    <font>
      <b/>
      <sz val="7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242424"/>
      <name val="Arial"/>
      <family val="2"/>
    </font>
    <font>
      <sz val="10"/>
      <name val="Aptos Narrow"/>
      <family val="2"/>
      <scheme val="minor"/>
    </font>
    <font>
      <sz val="7"/>
      <name val="Arial"/>
      <family val="2"/>
    </font>
    <font>
      <b/>
      <sz val="10"/>
      <color theme="1"/>
      <name val="Aptos Narrow"/>
      <family val="2"/>
      <scheme val="minor"/>
    </font>
    <font>
      <sz val="10.5"/>
      <name val="Arial"/>
      <family val="2"/>
    </font>
    <font>
      <sz val="11"/>
      <color rgb="FF242424"/>
      <name val="Aptos Narrow"/>
      <family val="2"/>
    </font>
    <font>
      <b/>
      <u val="singleAccounting"/>
      <sz val="10"/>
      <color theme="1"/>
      <name val="Aptos Narrow"/>
      <family val="2"/>
      <scheme val="minor"/>
    </font>
    <font>
      <b/>
      <u val="doubleAccounting"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0"/>
      <name val="Broadway BT"/>
      <family val="5"/>
    </font>
    <font>
      <b/>
      <sz val="10"/>
      <name val="Aptos Narrow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6"/>
      <name val="Arial"/>
      <family val="2"/>
    </font>
    <font>
      <sz val="9"/>
      <color theme="1"/>
      <name val="Arial"/>
      <family val="2"/>
    </font>
    <font>
      <sz val="9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 val="singleAccounting"/>
      <sz val="9"/>
      <color theme="1"/>
      <name val="Aptos Narrow"/>
      <family val="2"/>
      <scheme val="minor"/>
    </font>
    <font>
      <b/>
      <u val="doubleAccounting"/>
      <sz val="9"/>
      <name val="Arial"/>
      <family val="2"/>
    </font>
    <font>
      <sz val="9"/>
      <color rgb="FF000000"/>
      <name val="Arial"/>
      <family val="2"/>
    </font>
    <font>
      <b/>
      <sz val="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87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left"/>
    </xf>
    <xf numFmtId="0" fontId="10" fillId="0" borderId="0" xfId="0" applyFont="1"/>
    <xf numFmtId="0" fontId="11" fillId="0" borderId="0" xfId="0" applyFont="1"/>
    <xf numFmtId="43" fontId="10" fillId="0" borderId="0" xfId="1" applyFont="1" applyFill="1" applyBorder="1"/>
    <xf numFmtId="43" fontId="11" fillId="0" borderId="0" xfId="1" applyFont="1" applyFill="1" applyBorder="1"/>
    <xf numFmtId="0" fontId="12" fillId="0" borderId="0" xfId="0" applyFont="1"/>
    <xf numFmtId="0" fontId="13" fillId="0" borderId="5" xfId="0" applyFont="1" applyBorder="1"/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43" fontId="15" fillId="0" borderId="7" xfId="1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9" xfId="0" quotePrefix="1" applyFont="1" applyBorder="1" applyAlignment="1">
      <alignment horizontal="center" vertic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left"/>
    </xf>
    <xf numFmtId="43" fontId="16" fillId="0" borderId="10" xfId="1" applyFont="1" applyFill="1" applyBorder="1" applyAlignment="1">
      <alignment horizontal="right" vertical="center" wrapText="1"/>
    </xf>
    <xf numFmtId="0" fontId="16" fillId="0" borderId="10" xfId="0" applyFont="1" applyBorder="1" applyAlignment="1">
      <alignment horizontal="center" vertical="center" wrapText="1"/>
    </xf>
    <xf numFmtId="43" fontId="16" fillId="0" borderId="11" xfId="1" applyFont="1" applyFill="1" applyBorder="1" applyAlignment="1">
      <alignment horizontal="center" vertical="center" wrapText="1"/>
    </xf>
    <xf numFmtId="43" fontId="16" fillId="0" borderId="10" xfId="1" applyFont="1" applyFill="1" applyBorder="1" applyAlignment="1">
      <alignment horizontal="center" vertical="center" wrapText="1"/>
    </xf>
    <xf numFmtId="43" fontId="9" fillId="0" borderId="10" xfId="1" applyFont="1" applyFill="1" applyBorder="1" applyAlignment="1">
      <alignment horizontal="center" vertical="center" wrapText="1"/>
    </xf>
    <xf numFmtId="43" fontId="9" fillId="0" borderId="10" xfId="0" applyNumberFormat="1" applyFont="1" applyBorder="1" applyAlignment="1">
      <alignment horizontal="center" vertical="center" wrapText="1"/>
    </xf>
    <xf numFmtId="43" fontId="16" fillId="0" borderId="10" xfId="0" applyNumberFormat="1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43" fontId="11" fillId="0" borderId="0" xfId="0" applyNumberFormat="1" applyFont="1"/>
    <xf numFmtId="43" fontId="16" fillId="0" borderId="11" xfId="1" applyFont="1" applyFill="1" applyBorder="1" applyAlignment="1">
      <alignment horizontal="center" wrapText="1"/>
    </xf>
    <xf numFmtId="43" fontId="19" fillId="0" borderId="12" xfId="0" applyNumberFormat="1" applyFont="1" applyBorder="1" applyAlignment="1">
      <alignment horizontal="left" vertical="center"/>
    </xf>
    <xf numFmtId="43" fontId="18" fillId="0" borderId="12" xfId="0" applyNumberFormat="1" applyFont="1" applyBorder="1" applyAlignment="1">
      <alignment horizontal="left" vertical="center"/>
    </xf>
    <xf numFmtId="43" fontId="20" fillId="0" borderId="12" xfId="0" applyNumberFormat="1" applyFont="1" applyBorder="1" applyAlignment="1">
      <alignment horizontal="left" vertical="top" wrapText="1"/>
    </xf>
    <xf numFmtId="0" fontId="16" fillId="0" borderId="13" xfId="0" applyFont="1" applyBorder="1" applyAlignment="1">
      <alignment horizontal="left"/>
    </xf>
    <xf numFmtId="43" fontId="16" fillId="0" borderId="13" xfId="1" applyFont="1" applyFill="1" applyBorder="1" applyAlignment="1">
      <alignment horizontal="center" vertical="center" wrapText="1"/>
    </xf>
    <xf numFmtId="43" fontId="16" fillId="0" borderId="14" xfId="1" applyFont="1" applyFill="1" applyBorder="1" applyAlignment="1">
      <alignment horizontal="center" wrapText="1"/>
    </xf>
    <xf numFmtId="43" fontId="9" fillId="0" borderId="13" xfId="0" applyNumberFormat="1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/>
    <xf numFmtId="39" fontId="15" fillId="0" borderId="16" xfId="1" applyNumberFormat="1" applyFont="1" applyFill="1" applyBorder="1" applyAlignment="1">
      <alignment horizontal="center"/>
    </xf>
    <xf numFmtId="43" fontId="15" fillId="0" borderId="16" xfId="1" applyFont="1" applyFill="1" applyBorder="1" applyAlignment="1"/>
    <xf numFmtId="43" fontId="15" fillId="0" borderId="16" xfId="1" applyFont="1" applyFill="1" applyBorder="1" applyAlignment="1">
      <alignment horizontal="center" wrapText="1"/>
    </xf>
    <xf numFmtId="43" fontId="15" fillId="0" borderId="18" xfId="0" applyNumberFormat="1" applyFont="1" applyBorder="1"/>
    <xf numFmtId="0" fontId="15" fillId="0" borderId="0" xfId="0" applyFont="1"/>
    <xf numFmtId="0" fontId="9" fillId="0" borderId="4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  <xf numFmtId="0" fontId="9" fillId="0" borderId="14" xfId="1" applyNumberFormat="1" applyFont="1" applyFill="1" applyBorder="1" applyAlignment="1"/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9" xfId="0" applyFont="1" applyBorder="1"/>
    <xf numFmtId="0" fontId="16" fillId="0" borderId="0" xfId="0" applyFont="1" applyAlignment="1">
      <alignment horizontal="center"/>
    </xf>
    <xf numFmtId="43" fontId="16" fillId="0" borderId="0" xfId="0" applyNumberFormat="1" applyFont="1" applyAlignment="1">
      <alignment horizontal="center"/>
    </xf>
    <xf numFmtId="0" fontId="16" fillId="0" borderId="5" xfId="0" applyFont="1" applyBorder="1" applyAlignment="1">
      <alignment horizontal="center"/>
    </xf>
    <xf numFmtId="0" fontId="5" fillId="0" borderId="20" xfId="0" applyFont="1" applyBorder="1"/>
    <xf numFmtId="0" fontId="16" fillId="0" borderId="14" xfId="0" applyFont="1" applyBorder="1" applyAlignment="1">
      <alignment horizontal="center"/>
    </xf>
    <xf numFmtId="164" fontId="16" fillId="0" borderId="13" xfId="0" applyNumberFormat="1" applyFont="1" applyBorder="1"/>
    <xf numFmtId="43" fontId="16" fillId="0" borderId="13" xfId="1" applyFont="1" applyFill="1" applyBorder="1" applyAlignment="1">
      <alignment horizontal="center"/>
    </xf>
    <xf numFmtId="43" fontId="16" fillId="0" borderId="0" xfId="1" applyFont="1" applyFill="1" applyBorder="1" applyAlignment="1">
      <alignment horizontal="center"/>
    </xf>
    <xf numFmtId="0" fontId="16" fillId="0" borderId="5" xfId="0" applyFont="1" applyBorder="1"/>
    <xf numFmtId="0" fontId="16" fillId="0" borderId="4" xfId="0" applyFont="1" applyBorder="1" applyAlignment="1">
      <alignment horizontal="left"/>
    </xf>
    <xf numFmtId="2" fontId="9" fillId="0" borderId="0" xfId="0" applyNumberFormat="1" applyFont="1" applyAlignment="1">
      <alignment horizontal="center"/>
    </xf>
    <xf numFmtId="43" fontId="16" fillId="0" borderId="13" xfId="1" applyFont="1" applyFill="1" applyBorder="1" applyAlignment="1"/>
    <xf numFmtId="43" fontId="16" fillId="0" borderId="0" xfId="1" applyFont="1" applyFill="1" applyBorder="1" applyAlignment="1"/>
    <xf numFmtId="164" fontId="16" fillId="0" borderId="0" xfId="0" applyNumberFormat="1" applyFont="1"/>
    <xf numFmtId="2" fontId="9" fillId="0" borderId="4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21" xfId="0" applyNumberFormat="1" applyFont="1" applyBorder="1" applyAlignment="1">
      <alignment horizontal="center"/>
    </xf>
    <xf numFmtId="0" fontId="9" fillId="0" borderId="13" xfId="0" applyFont="1" applyBorder="1"/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3" xfId="0" applyFont="1" applyBorder="1"/>
    <xf numFmtId="0" fontId="16" fillId="0" borderId="5" xfId="0" applyFont="1" applyBorder="1" applyAlignment="1">
      <alignment horizontal="center"/>
    </xf>
    <xf numFmtId="0" fontId="14" fillId="0" borderId="4" xfId="0" applyFont="1" applyBorder="1"/>
    <xf numFmtId="0" fontId="16" fillId="0" borderId="14" xfId="0" applyFont="1" applyBorder="1"/>
    <xf numFmtId="0" fontId="9" fillId="0" borderId="4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2" fontId="9" fillId="0" borderId="0" xfId="3" applyNumberFormat="1" applyFont="1" applyFill="1" applyBorder="1" applyAlignment="1">
      <alignment horizontal="center" vertical="center" wrapText="1"/>
    </xf>
    <xf numFmtId="2" fontId="9" fillId="0" borderId="5" xfId="3" applyNumberFormat="1" applyFont="1" applyFill="1" applyBorder="1" applyAlignment="1">
      <alignment horizontal="center" vertical="center" wrapText="1"/>
    </xf>
    <xf numFmtId="0" fontId="16" fillId="0" borderId="4" xfId="0" applyFont="1" applyBorder="1"/>
    <xf numFmtId="0" fontId="16" fillId="0" borderId="0" xfId="0" applyFont="1" applyAlignment="1">
      <alignment horizontal="left"/>
    </xf>
    <xf numFmtId="2" fontId="16" fillId="0" borderId="0" xfId="1" applyNumberFormat="1" applyFont="1" applyFill="1" applyBorder="1" applyAlignment="1">
      <alignment horizontal="center" wrapText="1"/>
    </xf>
    <xf numFmtId="2" fontId="16" fillId="0" borderId="5" xfId="1" applyNumberFormat="1" applyFont="1" applyFill="1" applyBorder="1" applyAlignment="1">
      <alignment wrapText="1"/>
    </xf>
    <xf numFmtId="164" fontId="22" fillId="0" borderId="0" xfId="0" applyNumberFormat="1" applyFont="1" applyAlignment="1">
      <alignment horizontal="center"/>
    </xf>
    <xf numFmtId="0" fontId="22" fillId="0" borderId="21" xfId="0" applyFont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9" fillId="0" borderId="0" xfId="1" applyNumberFormat="1" applyFont="1" applyFill="1" applyBorder="1" applyAlignment="1">
      <alignment horizontal="center"/>
    </xf>
    <xf numFmtId="2" fontId="9" fillId="0" borderId="5" xfId="1" applyNumberFormat="1" applyFont="1" applyFill="1" applyBorder="1" applyAlignment="1">
      <alignment horizontal="center"/>
    </xf>
    <xf numFmtId="2" fontId="9" fillId="0" borderId="0" xfId="1" applyNumberFormat="1" applyFont="1" applyFill="1" applyBorder="1" applyAlignment="1">
      <alignment horizontal="center"/>
    </xf>
    <xf numFmtId="2" fontId="16" fillId="0" borderId="5" xfId="1" applyNumberFormat="1" applyFont="1" applyFill="1" applyBorder="1" applyAlignment="1">
      <alignment horizontal="center"/>
    </xf>
    <xf numFmtId="2" fontId="16" fillId="0" borderId="0" xfId="1" applyNumberFormat="1" applyFont="1" applyFill="1" applyBorder="1" applyAlignment="1">
      <alignment horizontal="center"/>
    </xf>
    <xf numFmtId="0" fontId="9" fillId="0" borderId="10" xfId="0" applyFont="1" applyBorder="1"/>
    <xf numFmtId="2" fontId="9" fillId="0" borderId="0" xfId="1" applyNumberFormat="1" applyFont="1" applyFill="1" applyBorder="1" applyAlignment="1"/>
    <xf numFmtId="2" fontId="9" fillId="0" borderId="5" xfId="1" applyNumberFormat="1" applyFont="1" applyFill="1" applyBorder="1" applyAlignment="1"/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/>
    <xf numFmtId="0" fontId="16" fillId="0" borderId="25" xfId="0" applyFont="1" applyBorder="1"/>
    <xf numFmtId="0" fontId="9" fillId="0" borderId="23" xfId="0" applyFont="1" applyBorder="1" applyAlignment="1">
      <alignment horizontal="right"/>
    </xf>
    <xf numFmtId="164" fontId="9" fillId="0" borderId="26" xfId="0" applyNumberFormat="1" applyFont="1" applyBorder="1" applyAlignment="1">
      <alignment horizontal="right"/>
    </xf>
    <xf numFmtId="43" fontId="9" fillId="0" borderId="26" xfId="1" applyFont="1" applyFill="1" applyBorder="1" applyAlignment="1">
      <alignment horizontal="center"/>
    </xf>
    <xf numFmtId="43" fontId="9" fillId="0" borderId="23" xfId="1" applyFont="1" applyFill="1" applyBorder="1" applyAlignment="1">
      <alignment horizontal="center"/>
    </xf>
    <xf numFmtId="2" fontId="16" fillId="0" borderId="23" xfId="1" applyNumberFormat="1" applyFont="1" applyFill="1" applyBorder="1" applyAlignment="1">
      <alignment horizontal="center"/>
    </xf>
    <xf numFmtId="2" fontId="16" fillId="0" borderId="27" xfId="1" applyNumberFormat="1" applyFont="1" applyFill="1" applyBorder="1" applyAlignment="1">
      <alignment horizontal="center"/>
    </xf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43" fontId="9" fillId="0" borderId="0" xfId="1" applyFont="1" applyFill="1" applyBorder="1" applyAlignment="1">
      <alignment horizontal="center"/>
    </xf>
    <xf numFmtId="2" fontId="16" fillId="0" borderId="21" xfId="1" applyNumberFormat="1" applyFont="1" applyFill="1" applyBorder="1" applyAlignment="1">
      <alignment horizontal="center"/>
    </xf>
    <xf numFmtId="0" fontId="5" fillId="0" borderId="9" xfId="0" quotePrefix="1" applyFont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43" fontId="16" fillId="0" borderId="0" xfId="0" applyNumberFormat="1" applyFont="1" applyAlignment="1">
      <alignment horizontal="center" vertical="center" wrapText="1"/>
    </xf>
    <xf numFmtId="0" fontId="20" fillId="0" borderId="12" xfId="0" quotePrefix="1" applyFont="1" applyBorder="1" applyAlignment="1">
      <alignment horizontal="center" vertical="center"/>
    </xf>
    <xf numFmtId="0" fontId="16" fillId="0" borderId="0" xfId="0" quotePrefix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/>
    <xf numFmtId="0" fontId="9" fillId="0" borderId="17" xfId="0" applyFont="1" applyBorder="1"/>
    <xf numFmtId="39" fontId="9" fillId="0" borderId="16" xfId="1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3" fontId="10" fillId="0" borderId="0" xfId="1" applyFont="1" applyFill="1" applyBorder="1" applyAlignment="1">
      <alignment horizontal="center"/>
    </xf>
    <xf numFmtId="43" fontId="11" fillId="0" borderId="0" xfId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/>
    <xf numFmtId="0" fontId="20" fillId="0" borderId="0" xfId="0" applyFont="1"/>
    <xf numFmtId="0" fontId="16" fillId="0" borderId="10" xfId="1" applyNumberFormat="1" applyFont="1" applyFill="1" applyBorder="1" applyAlignment="1">
      <alignment horizontal="center" vertical="center" wrapText="1"/>
    </xf>
    <xf numFmtId="43" fontId="5" fillId="0" borderId="0" xfId="0" applyNumberFormat="1" applyFont="1"/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/>
    <xf numFmtId="0" fontId="16" fillId="0" borderId="17" xfId="0" applyFont="1" applyBorder="1"/>
    <xf numFmtId="39" fontId="16" fillId="0" borderId="16" xfId="1" applyNumberFormat="1" applyFont="1" applyFill="1" applyBorder="1" applyAlignment="1">
      <alignment horizontal="center"/>
    </xf>
    <xf numFmtId="43" fontId="9" fillId="0" borderId="16" xfId="1" applyFont="1" applyFill="1" applyBorder="1" applyAlignment="1">
      <alignment horizontal="right"/>
    </xf>
    <xf numFmtId="43" fontId="9" fillId="0" borderId="16" xfId="1" applyFont="1" applyFill="1" applyBorder="1"/>
    <xf numFmtId="0" fontId="16" fillId="0" borderId="18" xfId="0" applyFont="1" applyBorder="1"/>
    <xf numFmtId="0" fontId="16" fillId="0" borderId="29" xfId="0" applyFont="1" applyBorder="1" applyAlignment="1">
      <alignment horizontal="left"/>
    </xf>
    <xf numFmtId="43" fontId="18" fillId="0" borderId="12" xfId="0" applyNumberFormat="1" applyFont="1" applyBorder="1" applyAlignment="1">
      <alignment horizontal="center" vertical="center"/>
    </xf>
    <xf numFmtId="0" fontId="16" fillId="0" borderId="14" xfId="1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9" fillId="0" borderId="18" xfId="0" applyFont="1" applyBorder="1"/>
    <xf numFmtId="0" fontId="5" fillId="0" borderId="22" xfId="0" applyFont="1" applyBorder="1" applyAlignment="1">
      <alignment horizontal="left"/>
    </xf>
    <xf numFmtId="0" fontId="5" fillId="0" borderId="23" xfId="0" applyFont="1" applyBorder="1"/>
    <xf numFmtId="0" fontId="10" fillId="0" borderId="23" xfId="0" applyFont="1" applyBorder="1"/>
    <xf numFmtId="0" fontId="11" fillId="0" borderId="23" xfId="0" applyFont="1" applyBorder="1"/>
    <xf numFmtId="43" fontId="10" fillId="0" borderId="23" xfId="1" applyFont="1" applyFill="1" applyBorder="1"/>
    <xf numFmtId="43" fontId="11" fillId="0" borderId="23" xfId="1" applyFont="1" applyFill="1" applyBorder="1"/>
    <xf numFmtId="0" fontId="12" fillId="0" borderId="23" xfId="0" applyFont="1" applyBorder="1"/>
    <xf numFmtId="0" fontId="13" fillId="0" borderId="27" xfId="0" applyFont="1" applyBorder="1"/>
    <xf numFmtId="0" fontId="11" fillId="0" borderId="9" xfId="0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/>
    </xf>
    <xf numFmtId="43" fontId="16" fillId="0" borderId="32" xfId="1" applyFont="1" applyFill="1" applyBorder="1" applyAlignment="1">
      <alignment horizontal="center" wrapText="1"/>
    </xf>
    <xf numFmtId="0" fontId="16" fillId="0" borderId="32" xfId="1" applyNumberFormat="1" applyFont="1" applyFill="1" applyBorder="1" applyAlignment="1">
      <alignment horizontal="center" wrapText="1"/>
    </xf>
    <xf numFmtId="43" fontId="16" fillId="0" borderId="29" xfId="1" applyFont="1" applyFill="1" applyBorder="1" applyAlignment="1">
      <alignment horizontal="center" wrapText="1"/>
    </xf>
    <xf numFmtId="43" fontId="16" fillId="0" borderId="10" xfId="1" applyFont="1" applyFill="1" applyBorder="1" applyAlignment="1">
      <alignment horizontal="center" wrapText="1"/>
    </xf>
    <xf numFmtId="0" fontId="18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43" fontId="16" fillId="0" borderId="13" xfId="1" applyFont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8" fillId="0" borderId="12" xfId="0" quotePrefix="1" applyFont="1" applyBorder="1" applyAlignment="1">
      <alignment horizontal="center" vertical="center"/>
    </xf>
    <xf numFmtId="43" fontId="16" fillId="0" borderId="32" xfId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vertical="center" wrapText="1"/>
    </xf>
    <xf numFmtId="0" fontId="18" fillId="0" borderId="12" xfId="0" quotePrefix="1" applyFont="1" applyBorder="1" applyAlignment="1">
      <alignment vertical="center" wrapText="1"/>
    </xf>
    <xf numFmtId="43" fontId="16" fillId="0" borderId="0" xfId="1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43" fontId="16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/>
    </xf>
    <xf numFmtId="43" fontId="16" fillId="0" borderId="21" xfId="0" applyNumberFormat="1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/>
    </xf>
    <xf numFmtId="43" fontId="20" fillId="0" borderId="0" xfId="0" applyNumberFormat="1" applyFont="1"/>
    <xf numFmtId="2" fontId="10" fillId="0" borderId="0" xfId="0" applyNumberFormat="1" applyFont="1"/>
    <xf numFmtId="2" fontId="15" fillId="0" borderId="7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43" fontId="11" fillId="2" borderId="29" xfId="0" applyNumberFormat="1" applyFont="1" applyFill="1" applyBorder="1"/>
    <xf numFmtId="43" fontId="11" fillId="3" borderId="29" xfId="0" applyNumberFormat="1" applyFont="1" applyFill="1" applyBorder="1"/>
    <xf numFmtId="0" fontId="11" fillId="0" borderId="10" xfId="0" applyFont="1" applyBorder="1" applyAlignment="1">
      <alignment horizontal="left"/>
    </xf>
    <xf numFmtId="2" fontId="16" fillId="0" borderId="13" xfId="0" applyNumberFormat="1" applyFont="1" applyBorder="1" applyAlignment="1">
      <alignment horizontal="center" vertical="center" wrapText="1"/>
    </xf>
    <xf numFmtId="2" fontId="9" fillId="0" borderId="19" xfId="0" applyNumberFormat="1" applyFont="1" applyBorder="1"/>
    <xf numFmtId="2" fontId="16" fillId="0" borderId="0" xfId="1" applyNumberFormat="1" applyFont="1" applyFill="1" applyBorder="1" applyAlignment="1"/>
    <xf numFmtId="2" fontId="24" fillId="0" borderId="0" xfId="3" applyNumberFormat="1" applyFont="1" applyFill="1" applyBorder="1" applyAlignment="1">
      <alignment horizontal="left"/>
    </xf>
    <xf numFmtId="2" fontId="16" fillId="0" borderId="0" xfId="0" applyNumberFormat="1" applyFont="1"/>
    <xf numFmtId="2" fontId="9" fillId="0" borderId="0" xfId="0" applyNumberFormat="1" applyFont="1"/>
    <xf numFmtId="2" fontId="9" fillId="0" borderId="23" xfId="1" applyNumberFormat="1" applyFont="1" applyFill="1" applyBorder="1" applyAlignment="1">
      <alignment horizontal="center"/>
    </xf>
    <xf numFmtId="2" fontId="16" fillId="0" borderId="10" xfId="1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center"/>
    </xf>
    <xf numFmtId="43" fontId="25" fillId="0" borderId="10" xfId="0" applyNumberFormat="1" applyFont="1" applyBorder="1" applyAlignment="1">
      <alignment horizontal="center" vertical="center" wrapText="1"/>
    </xf>
    <xf numFmtId="43" fontId="16" fillId="0" borderId="14" xfId="1" applyFont="1" applyFill="1" applyBorder="1" applyAlignment="1">
      <alignment horizontal="center" vertical="center" wrapText="1"/>
    </xf>
    <xf numFmtId="2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 wrapText="1"/>
    </xf>
    <xf numFmtId="2" fontId="10" fillId="0" borderId="23" xfId="0" applyNumberFormat="1" applyFont="1" applyBorder="1"/>
    <xf numFmtId="2" fontId="16" fillId="0" borderId="29" xfId="1" applyNumberFormat="1" applyFont="1" applyFill="1" applyBorder="1" applyAlignment="1">
      <alignment horizontal="center" wrapText="1"/>
    </xf>
    <xf numFmtId="2" fontId="16" fillId="0" borderId="10" xfId="1" applyNumberFormat="1" applyFont="1" applyFill="1" applyBorder="1" applyAlignment="1">
      <alignment horizontal="center" wrapText="1"/>
    </xf>
    <xf numFmtId="2" fontId="16" fillId="0" borderId="13" xfId="1" applyNumberFormat="1" applyFont="1" applyFill="1" applyBorder="1" applyAlignment="1">
      <alignment horizontal="center" wrapText="1"/>
    </xf>
    <xf numFmtId="0" fontId="26" fillId="0" borderId="12" xfId="0" quotePrefix="1" applyFont="1" applyBorder="1" applyAlignment="1">
      <alignment horizontal="center" vertical="center"/>
    </xf>
    <xf numFmtId="2" fontId="16" fillId="0" borderId="10" xfId="0" applyNumberFormat="1" applyFont="1" applyBorder="1" applyAlignment="1">
      <alignment vertical="center" wrapText="1"/>
    </xf>
    <xf numFmtId="43" fontId="10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27" fillId="0" borderId="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43" fontId="0" fillId="0" borderId="0" xfId="1" applyFont="1" applyFill="1"/>
    <xf numFmtId="0" fontId="28" fillId="0" borderId="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5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5" xfId="0" applyFont="1" applyBorder="1" applyAlignment="1">
      <alignment horizontal="center"/>
    </xf>
    <xf numFmtId="0" fontId="30" fillId="0" borderId="4" xfId="0" applyFont="1" applyBorder="1"/>
    <xf numFmtId="0" fontId="30" fillId="0" borderId="0" xfId="0" applyFont="1"/>
    <xf numFmtId="0" fontId="30" fillId="0" borderId="0" xfId="0" applyFont="1" applyAlignment="1">
      <alignment horizontal="center"/>
    </xf>
    <xf numFmtId="43" fontId="30" fillId="0" borderId="0" xfId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0" fontId="2" fillId="0" borderId="0" xfId="0" applyFont="1"/>
    <xf numFmtId="43" fontId="0" fillId="0" borderId="0" xfId="1" applyFont="1" applyFill="1" applyBorder="1" applyAlignment="1"/>
    <xf numFmtId="43" fontId="31" fillId="0" borderId="0" xfId="1" applyFont="1" applyFill="1" applyBorder="1"/>
    <xf numFmtId="0" fontId="0" fillId="0" borderId="0" xfId="0" applyAlignment="1">
      <alignment horizontal="right"/>
    </xf>
    <xf numFmtId="0" fontId="32" fillId="0" borderId="0" xfId="0" applyFont="1"/>
    <xf numFmtId="0" fontId="0" fillId="0" borderId="5" xfId="0" applyBorder="1" applyAlignment="1">
      <alignment horizontal="center" wrapText="1"/>
    </xf>
    <xf numFmtId="0" fontId="33" fillId="0" borderId="35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/>
    </xf>
    <xf numFmtId="0" fontId="33" fillId="0" borderId="36" xfId="0" applyFont="1" applyBorder="1" applyAlignment="1">
      <alignment horizontal="center" vertical="center" wrapText="1"/>
    </xf>
    <xf numFmtId="43" fontId="33" fillId="0" borderId="36" xfId="1" applyFont="1" applyFill="1" applyBorder="1" applyAlignment="1">
      <alignment horizontal="center" vertical="center" wrapText="1"/>
    </xf>
    <xf numFmtId="2" fontId="9" fillId="0" borderId="36" xfId="3" applyNumberFormat="1" applyFont="1" applyFill="1" applyBorder="1" applyAlignment="1">
      <alignment horizontal="center" vertical="center" wrapText="1"/>
    </xf>
    <xf numFmtId="2" fontId="33" fillId="0" borderId="36" xfId="3" applyNumberFormat="1" applyFont="1" applyFill="1" applyBorder="1" applyAlignment="1">
      <alignment horizontal="center" vertical="center" wrapText="1"/>
    </xf>
    <xf numFmtId="0" fontId="33" fillId="0" borderId="7" xfId="0" applyFont="1" applyBorder="1" applyAlignment="1">
      <alignment horizontal="center"/>
    </xf>
    <xf numFmtId="0" fontId="24" fillId="0" borderId="37" xfId="0" applyFont="1" applyBorder="1" applyAlignment="1">
      <alignment horizontal="right"/>
    </xf>
    <xf numFmtId="2" fontId="33" fillId="0" borderId="7" xfId="3" applyNumberFormat="1" applyFont="1" applyFill="1" applyBorder="1" applyAlignment="1">
      <alignment horizontal="center"/>
    </xf>
    <xf numFmtId="2" fontId="33" fillId="0" borderId="38" xfId="3" applyNumberFormat="1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 vertical="center" wrapText="1"/>
    </xf>
    <xf numFmtId="43" fontId="33" fillId="0" borderId="13" xfId="1" applyFont="1" applyFill="1" applyBorder="1" applyAlignment="1">
      <alignment horizontal="center" vertical="center" wrapText="1"/>
    </xf>
    <xf numFmtId="2" fontId="9" fillId="0" borderId="13" xfId="3" applyNumberFormat="1" applyFont="1" applyFill="1" applyBorder="1" applyAlignment="1">
      <alignment horizontal="center" vertical="center" wrapText="1"/>
    </xf>
    <xf numFmtId="2" fontId="33" fillId="0" borderId="13" xfId="3" applyNumberFormat="1" applyFont="1" applyFill="1" applyBorder="1" applyAlignment="1">
      <alignment horizontal="center" vertical="center" wrapText="1"/>
    </xf>
    <xf numFmtId="2" fontId="33" fillId="0" borderId="39" xfId="3" applyNumberFormat="1" applyFont="1" applyFill="1" applyBorder="1" applyAlignment="1">
      <alignment horizontal="center" vertical="center" wrapText="1"/>
    </xf>
    <xf numFmtId="2" fontId="33" fillId="0" borderId="40" xfId="3" applyNumberFormat="1" applyFont="1" applyFill="1" applyBorder="1" applyAlignment="1">
      <alignment horizontal="center" vertical="center" wrapText="1"/>
    </xf>
    <xf numFmtId="0" fontId="33" fillId="0" borderId="13" xfId="1" applyNumberFormat="1" applyFont="1" applyFill="1" applyBorder="1" applyAlignment="1">
      <alignment horizontal="center" vertical="center" wrapText="1"/>
    </xf>
    <xf numFmtId="0" fontId="33" fillId="0" borderId="30" xfId="1" applyNumberFormat="1" applyFont="1" applyFill="1" applyBorder="1" applyAlignment="1">
      <alignment horizontal="center" vertical="center" wrapText="1"/>
    </xf>
    <xf numFmtId="0" fontId="33" fillId="0" borderId="30" xfId="1" applyNumberFormat="1" applyFont="1" applyFill="1" applyBorder="1" applyAlignment="1">
      <alignment horizontal="center" vertical="center"/>
    </xf>
    <xf numFmtId="2" fontId="33" fillId="0" borderId="41" xfId="3" applyNumberFormat="1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/>
    </xf>
    <xf numFmtId="2" fontId="33" fillId="0" borderId="0" xfId="3" applyNumberFormat="1" applyFont="1" applyFill="1" applyBorder="1" applyAlignment="1">
      <alignment horizontal="center" vertical="center" wrapText="1"/>
    </xf>
    <xf numFmtId="2" fontId="33" fillId="0" borderId="21" xfId="3" applyNumberFormat="1" applyFont="1" applyFill="1" applyBorder="1" applyAlignment="1">
      <alignment horizontal="center" vertical="center" wrapText="1"/>
    </xf>
    <xf numFmtId="0" fontId="33" fillId="0" borderId="13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3" fillId="0" borderId="9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 vertical="center" wrapText="1"/>
    </xf>
    <xf numFmtId="43" fontId="33" fillId="0" borderId="10" xfId="1" applyFont="1" applyFill="1" applyBorder="1" applyAlignment="1">
      <alignment horizontal="center" vertical="center" wrapText="1"/>
    </xf>
    <xf numFmtId="2" fontId="9" fillId="0" borderId="10" xfId="3" applyNumberFormat="1" applyFont="1" applyFill="1" applyBorder="1" applyAlignment="1">
      <alignment horizontal="center" vertical="center" wrapText="1"/>
    </xf>
    <xf numFmtId="2" fontId="33" fillId="0" borderId="10" xfId="3" applyNumberFormat="1" applyFont="1" applyFill="1" applyBorder="1" applyAlignment="1">
      <alignment horizontal="center" vertical="center" wrapText="1"/>
    </xf>
    <xf numFmtId="2" fontId="33" fillId="0" borderId="10" xfId="3" applyNumberFormat="1" applyFont="1" applyFill="1" applyBorder="1" applyAlignment="1">
      <alignment horizontal="center" vertical="center" wrapText="1"/>
    </xf>
    <xf numFmtId="0" fontId="33" fillId="0" borderId="29" xfId="1" applyNumberFormat="1" applyFont="1" applyFill="1" applyBorder="1" applyAlignment="1">
      <alignment vertical="center" wrapText="1"/>
    </xf>
    <xf numFmtId="0" fontId="33" fillId="0" borderId="29" xfId="1" applyNumberFormat="1" applyFont="1" applyFill="1" applyBorder="1" applyAlignment="1">
      <alignment vertical="center"/>
    </xf>
    <xf numFmtId="0" fontId="33" fillId="0" borderId="10" xfId="1" applyNumberFormat="1" applyFont="1" applyFill="1" applyBorder="1" applyAlignment="1">
      <alignment horizontal="center" vertical="center" wrapText="1"/>
    </xf>
    <xf numFmtId="0" fontId="33" fillId="0" borderId="10" xfId="1" applyNumberFormat="1" applyFont="1" applyFill="1" applyBorder="1" applyAlignment="1">
      <alignment horizontal="center" vertical="center" wrapText="1"/>
    </xf>
    <xf numFmtId="0" fontId="33" fillId="0" borderId="10" xfId="1" applyNumberFormat="1" applyFont="1" applyFill="1" applyBorder="1" applyAlignment="1">
      <alignment horizontal="center" vertical="center"/>
    </xf>
    <xf numFmtId="2" fontId="33" fillId="0" borderId="42" xfId="3" applyNumberFormat="1" applyFont="1" applyFill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 wrapText="1"/>
    </xf>
    <xf numFmtId="43" fontId="34" fillId="0" borderId="10" xfId="1" applyFont="1" applyFill="1" applyBorder="1" applyAlignment="1">
      <alignment horizontal="center" vertical="center" wrapText="1"/>
    </xf>
    <xf numFmtId="2" fontId="8" fillId="0" borderId="10" xfId="3" applyNumberFormat="1" applyFont="1" applyFill="1" applyBorder="1" applyAlignment="1">
      <alignment horizontal="center" vertical="center" wrapText="1"/>
    </xf>
    <xf numFmtId="2" fontId="35" fillId="0" borderId="10" xfId="3" applyNumberFormat="1" applyFont="1" applyFill="1" applyBorder="1" applyAlignment="1">
      <alignment horizontal="center" vertical="center" wrapText="1"/>
    </xf>
    <xf numFmtId="2" fontId="29" fillId="0" borderId="10" xfId="3" applyNumberFormat="1" applyFont="1" applyFill="1" applyBorder="1" applyAlignment="1">
      <alignment horizontal="center" vertical="center" wrapText="1"/>
    </xf>
    <xf numFmtId="9" fontId="29" fillId="0" borderId="10" xfId="2" applyFont="1" applyFill="1" applyBorder="1" applyAlignment="1">
      <alignment horizontal="center" vertical="center" wrapText="1"/>
    </xf>
    <xf numFmtId="9" fontId="29" fillId="0" borderId="10" xfId="1" applyNumberFormat="1" applyFont="1" applyFill="1" applyBorder="1" applyAlignment="1">
      <alignment horizontal="center" vertical="center" wrapText="1"/>
    </xf>
    <xf numFmtId="9" fontId="29" fillId="0" borderId="10" xfId="1" applyNumberFormat="1" applyFont="1" applyFill="1" applyBorder="1" applyAlignment="1">
      <alignment horizontal="center" vertical="center"/>
    </xf>
    <xf numFmtId="0" fontId="29" fillId="0" borderId="10" xfId="1" applyNumberFormat="1" applyFont="1" applyFill="1" applyBorder="1" applyAlignment="1">
      <alignment horizontal="center" vertical="center"/>
    </xf>
    <xf numFmtId="0" fontId="29" fillId="0" borderId="10" xfId="1" applyNumberFormat="1" applyFont="1" applyFill="1" applyBorder="1" applyAlignment="1">
      <alignment horizontal="center" vertical="center" wrapText="1"/>
    </xf>
    <xf numFmtId="0" fontId="29" fillId="0" borderId="11" xfId="1" applyNumberFormat="1" applyFont="1" applyFill="1" applyBorder="1" applyAlignment="1">
      <alignment horizontal="center" vertical="center" wrapText="1"/>
    </xf>
    <xf numFmtId="2" fontId="34" fillId="0" borderId="42" xfId="3" applyNumberFormat="1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left" vertical="center"/>
    </xf>
    <xf numFmtId="0" fontId="36" fillId="4" borderId="45" xfId="0" applyFont="1" applyFill="1" applyBorder="1" applyAlignment="1">
      <alignment horizontal="left" vertical="center"/>
    </xf>
    <xf numFmtId="0" fontId="36" fillId="0" borderId="10" xfId="0" applyFont="1" applyBorder="1" applyAlignment="1">
      <alignment horizontal="center" vertical="center" wrapText="1"/>
    </xf>
    <xf numFmtId="43" fontId="36" fillId="0" borderId="10" xfId="1" applyFont="1" applyFill="1" applyBorder="1" applyAlignment="1">
      <alignment horizontal="center" vertical="center" wrapText="1"/>
    </xf>
    <xf numFmtId="2" fontId="37" fillId="0" borderId="10" xfId="3" applyNumberFormat="1" applyFont="1" applyFill="1" applyBorder="1" applyAlignment="1">
      <alignment horizontal="center" vertical="center" wrapText="1"/>
    </xf>
    <xf numFmtId="2" fontId="36" fillId="0" borderId="10" xfId="3" applyNumberFormat="1" applyFont="1" applyFill="1" applyBorder="1" applyAlignment="1">
      <alignment horizontal="center" vertical="center" wrapText="1"/>
    </xf>
    <xf numFmtId="0" fontId="36" fillId="0" borderId="10" xfId="1" applyNumberFormat="1" applyFont="1" applyFill="1" applyBorder="1" applyAlignment="1">
      <alignment horizontal="center" vertical="center" wrapText="1"/>
    </xf>
    <xf numFmtId="0" fontId="36" fillId="0" borderId="10" xfId="1" applyNumberFormat="1" applyFont="1" applyFill="1" applyBorder="1" applyAlignment="1">
      <alignment horizontal="center" vertical="center"/>
    </xf>
    <xf numFmtId="0" fontId="36" fillId="0" borderId="11" xfId="1" applyNumberFormat="1" applyFont="1" applyFill="1" applyBorder="1" applyAlignment="1">
      <alignment horizontal="center" vertical="center" wrapText="1"/>
    </xf>
    <xf numFmtId="2" fontId="36" fillId="0" borderId="42" xfId="3" applyNumberFormat="1" applyFont="1" applyFill="1" applyBorder="1" applyAlignment="1">
      <alignment horizontal="center" vertical="center" wrapText="1"/>
    </xf>
    <xf numFmtId="0" fontId="38" fillId="0" borderId="0" xfId="0" applyFont="1"/>
    <xf numFmtId="43" fontId="38" fillId="0" borderId="0" xfId="1" applyFont="1" applyFill="1"/>
    <xf numFmtId="0" fontId="21" fillId="0" borderId="31" xfId="0" quotePrefix="1" applyFont="1" applyBorder="1" applyAlignment="1">
      <alignment horizontal="center"/>
    </xf>
    <xf numFmtId="0" fontId="39" fillId="0" borderId="29" xfId="0" applyFont="1" applyBorder="1" applyAlignment="1">
      <alignment wrapText="1"/>
    </xf>
    <xf numFmtId="0" fontId="21" fillId="0" borderId="29" xfId="0" applyFont="1" applyBorder="1" applyAlignment="1">
      <alignment horizontal="center" vertical="center" wrapText="1"/>
    </xf>
    <xf numFmtId="0" fontId="21" fillId="0" borderId="29" xfId="0" applyFont="1" applyBorder="1" applyAlignment="1">
      <alignment vertical="center" wrapText="1"/>
    </xf>
    <xf numFmtId="43" fontId="21" fillId="0" borderId="29" xfId="1" applyFont="1" applyFill="1" applyBorder="1"/>
    <xf numFmtId="43" fontId="21" fillId="0" borderId="29" xfId="1" applyFont="1" applyFill="1" applyBorder="1" applyAlignment="1">
      <alignment horizontal="center" vertical="center" wrapText="1"/>
    </xf>
    <xf numFmtId="43" fontId="21" fillId="0" borderId="29" xfId="1" applyFont="1" applyFill="1" applyBorder="1" applyAlignment="1">
      <alignment horizontal="center" vertical="center"/>
    </xf>
    <xf numFmtId="43" fontId="36" fillId="0" borderId="29" xfId="1" applyFont="1" applyFill="1" applyBorder="1" applyAlignment="1">
      <alignment horizontal="right"/>
    </xf>
    <xf numFmtId="43" fontId="21" fillId="0" borderId="29" xfId="1" quotePrefix="1" applyFont="1" applyFill="1" applyBorder="1" applyAlignment="1">
      <alignment horizontal="right"/>
    </xf>
    <xf numFmtId="43" fontId="21" fillId="0" borderId="29" xfId="1" quotePrefix="1" applyFont="1" applyFill="1" applyBorder="1" applyAlignment="1"/>
    <xf numFmtId="43" fontId="21" fillId="0" borderId="29" xfId="1" applyFont="1" applyFill="1" applyBorder="1" applyAlignment="1">
      <alignment horizontal="center"/>
    </xf>
    <xf numFmtId="43" fontId="36" fillId="0" borderId="29" xfId="1" applyFont="1" applyFill="1" applyBorder="1" applyAlignment="1">
      <alignment horizontal="right" vertical="center"/>
    </xf>
    <xf numFmtId="43" fontId="36" fillId="0" borderId="32" xfId="1" applyFont="1" applyFill="1" applyBorder="1" applyAlignment="1">
      <alignment horizontal="center" vertical="center" wrapText="1"/>
    </xf>
    <xf numFmtId="2" fontId="35" fillId="0" borderId="46" xfId="3" applyNumberFormat="1" applyFont="1" applyFill="1" applyBorder="1" applyAlignment="1">
      <alignment horizontal="center" vertical="center" wrapText="1"/>
    </xf>
    <xf numFmtId="43" fontId="36" fillId="0" borderId="0" xfId="1" applyFont="1" applyFill="1" applyBorder="1"/>
    <xf numFmtId="43" fontId="21" fillId="0" borderId="0" xfId="0" applyNumberFormat="1" applyFont="1"/>
    <xf numFmtId="43" fontId="21" fillId="0" borderId="0" xfId="1" applyFont="1" applyFill="1"/>
    <xf numFmtId="0" fontId="21" fillId="0" borderId="0" xfId="0" applyFont="1"/>
    <xf numFmtId="43" fontId="21" fillId="0" borderId="29" xfId="1" applyFont="1" applyFill="1" applyBorder="1" applyAlignment="1">
      <alignment horizontal="right"/>
    </xf>
    <xf numFmtId="43" fontId="21" fillId="5" borderId="29" xfId="1" quotePrefix="1" applyFont="1" applyFill="1" applyBorder="1" applyAlignment="1"/>
    <xf numFmtId="2" fontId="35" fillId="0" borderId="47" xfId="3" applyNumberFormat="1" applyFont="1" applyFill="1" applyBorder="1" applyAlignment="1">
      <alignment horizontal="center" vertical="center" wrapText="1"/>
    </xf>
    <xf numFmtId="0" fontId="21" fillId="0" borderId="29" xfId="0" applyFont="1" applyBorder="1" applyAlignment="1">
      <alignment horizontal="left"/>
    </xf>
    <xf numFmtId="2" fontId="36" fillId="0" borderId="29" xfId="3" applyNumberFormat="1" applyFont="1" applyFill="1" applyBorder="1" applyAlignment="1">
      <alignment horizontal="center" vertical="center" wrapText="1"/>
    </xf>
    <xf numFmtId="43" fontId="21" fillId="0" borderId="45" xfId="1" quotePrefix="1" applyFont="1" applyFill="1" applyBorder="1" applyAlignment="1"/>
    <xf numFmtId="0" fontId="40" fillId="0" borderId="29" xfId="0" applyFont="1" applyBorder="1"/>
    <xf numFmtId="43" fontId="21" fillId="0" borderId="0" xfId="1" applyFont="1" applyBorder="1"/>
    <xf numFmtId="0" fontId="39" fillId="0" borderId="29" xfId="0" applyFont="1" applyBorder="1"/>
    <xf numFmtId="0" fontId="21" fillId="0" borderId="30" xfId="0" applyFont="1" applyBorder="1" applyAlignment="1">
      <alignment horizontal="left"/>
    </xf>
    <xf numFmtId="0" fontId="21" fillId="0" borderId="30" xfId="0" applyFont="1" applyBorder="1" applyAlignment="1">
      <alignment horizontal="center" vertical="center" wrapText="1"/>
    </xf>
    <xf numFmtId="0" fontId="40" fillId="0" borderId="30" xfId="0" applyFont="1" applyBorder="1"/>
    <xf numFmtId="43" fontId="21" fillId="0" borderId="30" xfId="1" applyFont="1" applyFill="1" applyBorder="1" applyAlignment="1">
      <alignment horizontal="center" vertical="center" wrapText="1"/>
    </xf>
    <xf numFmtId="43" fontId="21" fillId="0" borderId="30" xfId="1" applyFont="1" applyFill="1" applyBorder="1" applyAlignment="1">
      <alignment horizontal="center" vertical="center"/>
    </xf>
    <xf numFmtId="43" fontId="36" fillId="0" borderId="30" xfId="1" applyFont="1" applyFill="1" applyBorder="1" applyAlignment="1">
      <alignment horizontal="right"/>
    </xf>
    <xf numFmtId="43" fontId="21" fillId="0" borderId="30" xfId="1" quotePrefix="1" applyFont="1" applyFill="1" applyBorder="1" applyAlignment="1"/>
    <xf numFmtId="43" fontId="21" fillId="0" borderId="30" xfId="1" applyFont="1" applyFill="1" applyBorder="1" applyAlignment="1">
      <alignment horizontal="center"/>
    </xf>
    <xf numFmtId="0" fontId="36" fillId="0" borderId="48" xfId="0" quotePrefix="1" applyFont="1" applyBorder="1" applyAlignment="1">
      <alignment horizontal="left"/>
    </xf>
    <xf numFmtId="0" fontId="21" fillId="0" borderId="49" xfId="0" applyFont="1" applyBorder="1" applyAlignment="1">
      <alignment horizontal="left"/>
    </xf>
    <xf numFmtId="0" fontId="21" fillId="0" borderId="49" xfId="0" applyFont="1" applyBorder="1" applyAlignment="1">
      <alignment horizontal="center" vertical="center" wrapText="1"/>
    </xf>
    <xf numFmtId="0" fontId="40" fillId="0" borderId="49" xfId="0" applyFont="1" applyBorder="1"/>
    <xf numFmtId="43" fontId="21" fillId="0" borderId="49" xfId="1" applyFont="1" applyFill="1" applyBorder="1" applyAlignment="1">
      <alignment horizontal="center" vertical="center" wrapText="1"/>
    </xf>
    <xf numFmtId="43" fontId="21" fillId="0" borderId="49" xfId="1" applyFont="1" applyFill="1" applyBorder="1" applyAlignment="1">
      <alignment horizontal="center" vertical="center"/>
    </xf>
    <xf numFmtId="43" fontId="36" fillId="0" borderId="49" xfId="1" applyFont="1" applyFill="1" applyBorder="1" applyAlignment="1">
      <alignment horizontal="right"/>
    </xf>
    <xf numFmtId="2" fontId="35" fillId="0" borderId="50" xfId="3" applyNumberFormat="1" applyFont="1" applyFill="1" applyBorder="1" applyAlignment="1">
      <alignment horizontal="center" vertical="center" wrapText="1"/>
    </xf>
    <xf numFmtId="0" fontId="36" fillId="0" borderId="34" xfId="0" quotePrefix="1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13" xfId="0" applyFont="1" applyBorder="1" applyAlignment="1">
      <alignment horizontal="center" vertical="center" wrapText="1"/>
    </xf>
    <xf numFmtId="0" fontId="40" fillId="0" borderId="13" xfId="0" applyFont="1" applyBorder="1"/>
    <xf numFmtId="43" fontId="21" fillId="0" borderId="13" xfId="1" applyFont="1" applyFill="1" applyBorder="1" applyAlignment="1">
      <alignment horizontal="center" vertical="center" wrapText="1"/>
    </xf>
    <xf numFmtId="43" fontId="21" fillId="0" borderId="13" xfId="1" applyFont="1" applyFill="1" applyBorder="1" applyAlignment="1">
      <alignment horizontal="center" vertical="center"/>
    </xf>
    <xf numFmtId="43" fontId="36" fillId="0" borderId="13" xfId="1" applyFont="1" applyFill="1" applyBorder="1" applyAlignment="1">
      <alignment horizontal="right"/>
    </xf>
    <xf numFmtId="43" fontId="21" fillId="0" borderId="13" xfId="1" quotePrefix="1" applyFont="1" applyFill="1" applyBorder="1" applyAlignment="1">
      <alignment horizontal="right"/>
    </xf>
    <xf numFmtId="43" fontId="21" fillId="0" borderId="13" xfId="1" quotePrefix="1" applyFont="1" applyFill="1" applyBorder="1" applyAlignment="1"/>
    <xf numFmtId="43" fontId="21" fillId="0" borderId="13" xfId="1" applyFont="1" applyFill="1" applyBorder="1" applyAlignment="1">
      <alignment horizontal="center"/>
    </xf>
    <xf numFmtId="43" fontId="36" fillId="0" borderId="13" xfId="1" applyFont="1" applyFill="1" applyBorder="1" applyAlignment="1">
      <alignment horizontal="right" vertical="center"/>
    </xf>
    <xf numFmtId="43" fontId="36" fillId="0" borderId="14" xfId="1" applyFont="1" applyFill="1" applyBorder="1" applyAlignment="1">
      <alignment horizontal="center" vertical="center" wrapText="1"/>
    </xf>
    <xf numFmtId="2" fontId="35" fillId="0" borderId="41" xfId="3" applyNumberFormat="1" applyFont="1" applyFill="1" applyBorder="1" applyAlignment="1">
      <alignment horizontal="center" vertical="center" wrapText="1"/>
    </xf>
    <xf numFmtId="43" fontId="21" fillId="0" borderId="0" xfId="1" applyFont="1" applyFill="1" applyBorder="1"/>
    <xf numFmtId="0" fontId="36" fillId="4" borderId="31" xfId="0" quotePrefix="1" applyFont="1" applyFill="1" applyBorder="1" applyAlignment="1">
      <alignment horizontal="left"/>
    </xf>
    <xf numFmtId="0" fontId="36" fillId="4" borderId="29" xfId="0" quotePrefix="1" applyFont="1" applyFill="1" applyBorder="1" applyAlignment="1">
      <alignment horizontal="left"/>
    </xf>
    <xf numFmtId="43" fontId="36" fillId="0" borderId="29" xfId="1" applyFont="1" applyFill="1" applyBorder="1" applyAlignment="1">
      <alignment horizontal="center" vertical="center" wrapText="1"/>
    </xf>
    <xf numFmtId="43" fontId="37" fillId="0" borderId="0" xfId="1" applyFont="1" applyFill="1" applyBorder="1"/>
    <xf numFmtId="43" fontId="36" fillId="0" borderId="0" xfId="0" applyNumberFormat="1" applyFont="1"/>
    <xf numFmtId="0" fontId="21" fillId="0" borderId="47" xfId="0" applyFont="1" applyBorder="1"/>
    <xf numFmtId="43" fontId="36" fillId="0" borderId="10" xfId="1" applyFont="1" applyFill="1" applyBorder="1" applyAlignment="1">
      <alignment horizontal="right"/>
    </xf>
    <xf numFmtId="43" fontId="21" fillId="0" borderId="10" xfId="1" applyFont="1" applyFill="1" applyBorder="1" applyAlignment="1">
      <alignment horizontal="right"/>
    </xf>
    <xf numFmtId="43" fontId="21" fillId="0" borderId="11" xfId="1" applyFont="1" applyFill="1" applyBorder="1" applyAlignment="1">
      <alignment horizontal="center" vertical="center"/>
    </xf>
    <xf numFmtId="0" fontId="41" fillId="0" borderId="0" xfId="0" applyFont="1"/>
    <xf numFmtId="0" fontId="39" fillId="0" borderId="0" xfId="0" applyFont="1" applyAlignment="1">
      <alignment wrapText="1"/>
    </xf>
    <xf numFmtId="43" fontId="21" fillId="0" borderId="0" xfId="1" applyFont="1" applyFill="1" applyBorder="1" applyAlignment="1">
      <alignment horizontal="center" vertical="center" wrapText="1"/>
    </xf>
    <xf numFmtId="2" fontId="35" fillId="0" borderId="0" xfId="3" applyNumberFormat="1" applyFont="1" applyFill="1" applyBorder="1" applyAlignment="1">
      <alignment horizontal="center" vertical="center" wrapText="1"/>
    </xf>
    <xf numFmtId="0" fontId="21" fillId="0" borderId="29" xfId="0" applyFont="1" applyBorder="1" applyAlignment="1">
      <alignment horizontal="left" vertical="center" wrapText="1"/>
    </xf>
    <xf numFmtId="43" fontId="21" fillId="0" borderId="29" xfId="1" applyFont="1" applyBorder="1" applyAlignment="1">
      <alignment horizontal="center" vertical="center" wrapText="1"/>
    </xf>
    <xf numFmtId="2" fontId="21" fillId="0" borderId="29" xfId="1" applyNumberFormat="1" applyFont="1" applyFill="1" applyBorder="1" applyAlignment="1">
      <alignment horizontal="center" vertical="center"/>
    </xf>
    <xf numFmtId="2" fontId="21" fillId="0" borderId="29" xfId="3" applyNumberFormat="1" applyFont="1" applyFill="1" applyBorder="1" applyAlignment="1">
      <alignment horizontal="center" vertical="center"/>
    </xf>
    <xf numFmtId="2" fontId="21" fillId="0" borderId="29" xfId="3" quotePrefix="1" applyNumberFormat="1" applyFont="1" applyFill="1" applyBorder="1" applyAlignment="1">
      <alignment horizontal="right"/>
    </xf>
    <xf numFmtId="43" fontId="36" fillId="0" borderId="29" xfId="1" applyFont="1" applyFill="1" applyBorder="1" applyAlignment="1">
      <alignment horizontal="right" vertical="center" wrapText="1"/>
    </xf>
    <xf numFmtId="43" fontId="21" fillId="5" borderId="26" xfId="1" quotePrefix="1" applyFont="1" applyFill="1" applyBorder="1" applyAlignment="1"/>
    <xf numFmtId="43" fontId="36" fillId="0" borderId="51" xfId="1" applyFont="1" applyFill="1" applyBorder="1"/>
    <xf numFmtId="0" fontId="21" fillId="0" borderId="51" xfId="0" applyFont="1" applyBorder="1"/>
    <xf numFmtId="43" fontId="21" fillId="0" borderId="51" xfId="1" applyFont="1" applyFill="1" applyBorder="1"/>
    <xf numFmtId="0" fontId="36" fillId="4" borderId="44" xfId="0" quotePrefix="1" applyFont="1" applyFill="1" applyBorder="1" applyAlignment="1">
      <alignment horizontal="left"/>
    </xf>
    <xf numFmtId="0" fontId="36" fillId="4" borderId="45" xfId="0" quotePrefix="1" applyFont="1" applyFill="1" applyBorder="1" applyAlignment="1">
      <alignment horizontal="left"/>
    </xf>
    <xf numFmtId="0" fontId="21" fillId="0" borderId="29" xfId="0" applyFont="1" applyBorder="1"/>
    <xf numFmtId="43" fontId="21" fillId="0" borderId="0" xfId="1" applyFont="1" applyFill="1" applyBorder="1" applyAlignment="1">
      <alignment horizontal="center" vertical="center"/>
    </xf>
    <xf numFmtId="43" fontId="21" fillId="0" borderId="29" xfId="1" applyFont="1" applyFill="1" applyBorder="1" applyAlignment="1"/>
    <xf numFmtId="0" fontId="42" fillId="0" borderId="29" xfId="0" applyFont="1" applyBorder="1" applyAlignment="1">
      <alignment vertical="center" wrapText="1"/>
    </xf>
    <xf numFmtId="2" fontId="24" fillId="5" borderId="29" xfId="3" quotePrefix="1" applyNumberFormat="1" applyFont="1" applyFill="1" applyBorder="1" applyAlignment="1">
      <alignment horizontal="right"/>
    </xf>
    <xf numFmtId="0" fontId="42" fillId="0" borderId="30" xfId="0" applyFont="1" applyBorder="1" applyAlignment="1">
      <alignment vertical="center" wrapText="1"/>
    </xf>
    <xf numFmtId="43" fontId="21" fillId="0" borderId="30" xfId="1" quotePrefix="1" applyFont="1" applyFill="1" applyBorder="1" applyAlignment="1">
      <alignment horizontal="right"/>
    </xf>
    <xf numFmtId="43" fontId="36" fillId="0" borderId="49" xfId="1" applyFont="1" applyFill="1" applyBorder="1" applyAlignment="1">
      <alignment horizontal="center" vertical="center"/>
    </xf>
    <xf numFmtId="43" fontId="21" fillId="0" borderId="10" xfId="1" applyFont="1" applyFill="1" applyBorder="1"/>
    <xf numFmtId="0" fontId="40" fillId="0" borderId="0" xfId="0" applyFont="1"/>
    <xf numFmtId="0" fontId="39" fillId="0" borderId="30" xfId="0" applyFont="1" applyBorder="1" applyAlignment="1">
      <alignment wrapText="1"/>
    </xf>
    <xf numFmtId="43" fontId="21" fillId="0" borderId="30" xfId="1" applyFont="1" applyFill="1" applyBorder="1"/>
    <xf numFmtId="2" fontId="35" fillId="0" borderId="52" xfId="3" applyNumberFormat="1" applyFont="1" applyFill="1" applyBorder="1" applyAlignment="1">
      <alignment horizontal="center" vertical="center" wrapText="1"/>
    </xf>
    <xf numFmtId="43" fontId="36" fillId="0" borderId="11" xfId="1" applyFont="1" applyFill="1" applyBorder="1" applyAlignment="1">
      <alignment horizontal="center" vertical="center" wrapText="1"/>
    </xf>
    <xf numFmtId="0" fontId="36" fillId="0" borderId="53" xfId="0" quotePrefix="1" applyFont="1" applyBorder="1" applyAlignment="1">
      <alignment horizontal="left"/>
    </xf>
    <xf numFmtId="0" fontId="21" fillId="0" borderId="54" xfId="0" applyFont="1" applyBorder="1" applyAlignment="1">
      <alignment horizontal="left"/>
    </xf>
    <xf numFmtId="0" fontId="21" fillId="0" borderId="54" xfId="0" applyFont="1" applyBorder="1" applyAlignment="1">
      <alignment horizontal="center" vertical="center" wrapText="1"/>
    </xf>
    <xf numFmtId="0" fontId="40" fillId="0" borderId="54" xfId="0" applyFont="1" applyBorder="1"/>
    <xf numFmtId="43" fontId="21" fillId="0" borderId="54" xfId="1" applyFont="1" applyFill="1" applyBorder="1" applyAlignment="1">
      <alignment horizontal="center" vertical="center" wrapText="1"/>
    </xf>
    <xf numFmtId="43" fontId="21" fillId="0" borderId="54" xfId="1" applyFont="1" applyFill="1" applyBorder="1" applyAlignment="1">
      <alignment horizontal="center" vertical="center"/>
    </xf>
    <xf numFmtId="43" fontId="36" fillId="0" borderId="54" xfId="1" applyFont="1" applyFill="1" applyBorder="1" applyAlignment="1">
      <alignment horizontal="center" vertical="center"/>
    </xf>
    <xf numFmtId="2" fontId="35" fillId="0" borderId="55" xfId="3" applyNumberFormat="1" applyFont="1" applyFill="1" applyBorder="1" applyAlignment="1">
      <alignment horizontal="center" vertical="center" wrapText="1"/>
    </xf>
    <xf numFmtId="0" fontId="38" fillId="0" borderId="4" xfId="0" applyFont="1" applyBorder="1"/>
    <xf numFmtId="43" fontId="4" fillId="0" borderId="0" xfId="1" applyFont="1" applyFill="1" applyBorder="1"/>
    <xf numFmtId="43" fontId="21" fillId="0" borderId="0" xfId="1" applyFont="1" applyFill="1" applyBorder="1" applyAlignment="1">
      <alignment horizontal="center"/>
    </xf>
    <xf numFmtId="43" fontId="21" fillId="0" borderId="0" xfId="1" applyFont="1" applyFill="1" applyBorder="1" applyAlignment="1">
      <alignment horizontal="right"/>
    </xf>
    <xf numFmtId="43" fontId="4" fillId="0" borderId="0" xfId="1" applyFont="1" applyFill="1" applyBorder="1" applyAlignment="1"/>
    <xf numFmtId="43" fontId="4" fillId="0" borderId="0" xfId="1" applyFont="1" applyFill="1" applyBorder="1" applyAlignment="1">
      <alignment horizontal="right"/>
    </xf>
    <xf numFmtId="0" fontId="38" fillId="0" borderId="5" xfId="0" applyFont="1" applyBorder="1" applyAlignment="1">
      <alignment horizontal="center" wrapText="1"/>
    </xf>
    <xf numFmtId="0" fontId="36" fillId="0" borderId="31" xfId="0" quotePrefix="1" applyFont="1" applyBorder="1" applyAlignment="1">
      <alignment horizontal="left"/>
    </xf>
    <xf numFmtId="0" fontId="4" fillId="0" borderId="29" xfId="0" applyFont="1" applyBorder="1"/>
    <xf numFmtId="43" fontId="4" fillId="0" borderId="29" xfId="1" applyFont="1" applyFill="1" applyBorder="1"/>
    <xf numFmtId="43" fontId="37" fillId="0" borderId="29" xfId="1" applyFont="1" applyFill="1" applyBorder="1"/>
    <xf numFmtId="43" fontId="43" fillId="0" borderId="47" xfId="1" applyFont="1" applyFill="1" applyBorder="1"/>
    <xf numFmtId="0" fontId="21" fillId="0" borderId="4" xfId="0" applyFont="1" applyBorder="1" applyAlignment="1">
      <alignment vertical="top"/>
    </xf>
    <xf numFmtId="0" fontId="21" fillId="0" borderId="0" xfId="0" applyFont="1" applyAlignment="1">
      <alignment vertical="top"/>
    </xf>
    <xf numFmtId="2" fontId="4" fillId="0" borderId="0" xfId="3" applyNumberFormat="1" applyFont="1" applyFill="1" applyBorder="1" applyAlignment="1">
      <alignment horizontal="center" vertical="top"/>
    </xf>
    <xf numFmtId="43" fontId="4" fillId="0" borderId="0" xfId="1" applyFont="1" applyFill="1" applyBorder="1" applyAlignment="1">
      <alignment horizontal="center" vertical="top"/>
    </xf>
    <xf numFmtId="0" fontId="41" fillId="0" borderId="21" xfId="0" applyFont="1" applyBorder="1" applyAlignment="1">
      <alignment horizontal="center" vertical="top"/>
    </xf>
    <xf numFmtId="2" fontId="36" fillId="0" borderId="14" xfId="3" applyNumberFormat="1" applyFont="1" applyFill="1" applyBorder="1" applyAlignment="1">
      <alignment horizontal="left" vertical="top"/>
    </xf>
    <xf numFmtId="2" fontId="36" fillId="0" borderId="0" xfId="3" applyNumberFormat="1" applyFont="1" applyFill="1" applyBorder="1" applyAlignment="1">
      <alignment horizontal="left" vertical="top"/>
    </xf>
    <xf numFmtId="2" fontId="36" fillId="0" borderId="0" xfId="3" applyNumberFormat="1" applyFont="1" applyFill="1" applyBorder="1" applyAlignment="1">
      <alignment horizontal="left" vertical="top"/>
    </xf>
    <xf numFmtId="2" fontId="36" fillId="0" borderId="39" xfId="3" applyNumberFormat="1" applyFont="1" applyFill="1" applyBorder="1" applyAlignment="1">
      <alignment horizontal="left" vertical="top"/>
    </xf>
    <xf numFmtId="2" fontId="21" fillId="0" borderId="13" xfId="3" applyNumberFormat="1" applyFont="1" applyFill="1" applyBorder="1" applyAlignment="1">
      <alignment horizontal="center" vertical="top"/>
    </xf>
    <xf numFmtId="2" fontId="21" fillId="0" borderId="21" xfId="3" applyNumberFormat="1" applyFont="1" applyFill="1" applyBorder="1" applyAlignment="1">
      <alignment horizontal="center" vertical="top"/>
    </xf>
    <xf numFmtId="43" fontId="36" fillId="0" borderId="39" xfId="1" applyFont="1" applyFill="1" applyBorder="1" applyAlignment="1">
      <alignment horizontal="left" vertical="top"/>
    </xf>
    <xf numFmtId="2" fontId="21" fillId="0" borderId="0" xfId="3" applyNumberFormat="1" applyFont="1" applyFill="1" applyBorder="1" applyAlignment="1">
      <alignment horizontal="right" vertical="top"/>
    </xf>
    <xf numFmtId="43" fontId="36" fillId="0" borderId="0" xfId="1" applyFont="1" applyFill="1" applyBorder="1" applyAlignment="1">
      <alignment horizontal="center" vertical="top"/>
    </xf>
    <xf numFmtId="43" fontId="36" fillId="0" borderId="5" xfId="1" applyFont="1" applyFill="1" applyBorder="1" applyAlignment="1">
      <alignment horizontal="center" vertical="top"/>
    </xf>
    <xf numFmtId="0" fontId="21" fillId="0" borderId="4" xfId="0" applyFont="1" applyBorder="1" applyAlignment="1">
      <alignment horizontal="left"/>
    </xf>
    <xf numFmtId="2" fontId="4" fillId="0" borderId="0" xfId="3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4" xfId="0" applyFont="1" applyBorder="1"/>
    <xf numFmtId="2" fontId="21" fillId="0" borderId="0" xfId="3" applyNumberFormat="1" applyFont="1" applyFill="1" applyBorder="1" applyAlignment="1">
      <alignment horizontal="left"/>
    </xf>
    <xf numFmtId="2" fontId="21" fillId="0" borderId="21" xfId="3" applyNumberFormat="1" applyFont="1" applyFill="1" applyBorder="1" applyAlignment="1">
      <alignment horizontal="left"/>
    </xf>
    <xf numFmtId="164" fontId="21" fillId="0" borderId="13" xfId="3" applyFont="1" applyFill="1" applyBorder="1" applyAlignment="1">
      <alignment horizontal="center"/>
    </xf>
    <xf numFmtId="164" fontId="21" fillId="0" borderId="21" xfId="3" applyFont="1" applyFill="1" applyBorder="1" applyAlignment="1">
      <alignment horizontal="center"/>
    </xf>
    <xf numFmtId="43" fontId="21" fillId="0" borderId="0" xfId="1" applyFont="1" applyFill="1" applyBorder="1" applyAlignment="1"/>
    <xf numFmtId="2" fontId="21" fillId="0" borderId="0" xfId="3" applyNumberFormat="1" applyFont="1" applyFill="1" applyBorder="1" applyAlignment="1">
      <alignment horizontal="center"/>
    </xf>
    <xf numFmtId="2" fontId="21" fillId="0" borderId="0" xfId="3" applyNumberFormat="1" applyFont="1" applyFill="1" applyBorder="1" applyAlignment="1">
      <alignment horizontal="right"/>
    </xf>
    <xf numFmtId="2" fontId="36" fillId="0" borderId="0" xfId="3" applyNumberFormat="1" applyFont="1" applyFill="1" applyBorder="1" applyAlignment="1">
      <alignment horizontal="center"/>
    </xf>
    <xf numFmtId="2" fontId="36" fillId="0" borderId="5" xfId="3" applyNumberFormat="1" applyFont="1" applyFill="1" applyBorder="1" applyAlignment="1">
      <alignment horizontal="center" wrapText="1"/>
    </xf>
    <xf numFmtId="2" fontId="36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2" fontId="36" fillId="0" borderId="0" xfId="0" applyNumberFormat="1" applyFont="1" applyAlignment="1">
      <alignment horizontal="center"/>
    </xf>
    <xf numFmtId="2" fontId="36" fillId="0" borderId="5" xfId="0" applyNumberFormat="1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0" borderId="21" xfId="0" applyFont="1" applyBorder="1" applyAlignment="1">
      <alignment horizontal="center"/>
    </xf>
    <xf numFmtId="164" fontId="21" fillId="0" borderId="21" xfId="3" applyFont="1" applyFill="1" applyBorder="1" applyAlignment="1">
      <alignment horizontal="right"/>
    </xf>
    <xf numFmtId="0" fontId="21" fillId="0" borderId="0" xfId="0" applyFont="1" applyAlignment="1">
      <alignment horizontal="center"/>
    </xf>
    <xf numFmtId="0" fontId="21" fillId="0" borderId="5" xfId="0" applyFont="1" applyBorder="1" applyAlignment="1">
      <alignment horizontal="center"/>
    </xf>
    <xf numFmtId="2" fontId="41" fillId="0" borderId="4" xfId="0" applyNumberFormat="1" applyFont="1" applyBorder="1" applyAlignment="1">
      <alignment horizontal="center"/>
    </xf>
    <xf numFmtId="2" fontId="41" fillId="0" borderId="0" xfId="0" applyNumberFormat="1" applyFont="1" applyAlignment="1">
      <alignment horizontal="center"/>
    </xf>
    <xf numFmtId="2" fontId="41" fillId="0" borderId="21" xfId="0" applyNumberFormat="1" applyFont="1" applyBorder="1" applyAlignment="1">
      <alignment horizontal="center"/>
    </xf>
    <xf numFmtId="0" fontId="36" fillId="0" borderId="0" xfId="0" applyFont="1"/>
    <xf numFmtId="0" fontId="21" fillId="0" borderId="5" xfId="0" applyFont="1" applyBorder="1" applyAlignment="1">
      <alignment horizontal="center" wrapText="1"/>
    </xf>
    <xf numFmtId="2" fontId="41" fillId="0" borderId="4" xfId="0" applyNumberFormat="1" applyFont="1" applyBorder="1" applyAlignment="1">
      <alignment horizontal="center"/>
    </xf>
    <xf numFmtId="2" fontId="41" fillId="0" borderId="0" xfId="0" applyNumberFormat="1" applyFont="1" applyAlignment="1">
      <alignment horizontal="center"/>
    </xf>
    <xf numFmtId="2" fontId="41" fillId="0" borderId="21" xfId="0" applyNumberFormat="1" applyFont="1" applyBorder="1" applyAlignment="1">
      <alignment horizontal="center"/>
    </xf>
    <xf numFmtId="0" fontId="44" fillId="0" borderId="14" xfId="0" applyFont="1" applyBorder="1" applyAlignment="1">
      <alignment horizontal="left"/>
    </xf>
    <xf numFmtId="0" fontId="45" fillId="0" borderId="0" xfId="0" applyFont="1"/>
    <xf numFmtId="2" fontId="21" fillId="0" borderId="0" xfId="3" applyNumberFormat="1" applyFont="1" applyFill="1" applyBorder="1" applyAlignment="1">
      <alignment horizontal="left"/>
    </xf>
    <xf numFmtId="2" fontId="21" fillId="0" borderId="21" xfId="3" applyNumberFormat="1" applyFont="1" applyFill="1" applyBorder="1" applyAlignment="1">
      <alignment horizontal="left"/>
    </xf>
    <xf numFmtId="43" fontId="38" fillId="0" borderId="0" xfId="1" applyFont="1" applyFill="1" applyBorder="1"/>
    <xf numFmtId="0" fontId="3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3" xfId="0" applyFont="1" applyBorder="1"/>
    <xf numFmtId="0" fontId="21" fillId="0" borderId="14" xfId="0" applyFont="1" applyBorder="1" applyAlignment="1">
      <alignment horizontal="center"/>
    </xf>
    <xf numFmtId="0" fontId="37" fillId="0" borderId="0" xfId="0" applyFont="1"/>
    <xf numFmtId="43" fontId="41" fillId="0" borderId="0" xfId="1" applyFont="1" applyFill="1" applyBorder="1"/>
    <xf numFmtId="2" fontId="36" fillId="0" borderId="0" xfId="3" applyNumberFormat="1" applyFont="1" applyFill="1" applyBorder="1" applyAlignment="1">
      <alignment horizontal="center" vertical="center" wrapText="1"/>
    </xf>
    <xf numFmtId="2" fontId="21" fillId="0" borderId="0" xfId="3" applyNumberFormat="1" applyFont="1" applyFill="1" applyBorder="1" applyAlignment="1">
      <alignment horizontal="right" vertical="center" wrapText="1"/>
    </xf>
    <xf numFmtId="2" fontId="36" fillId="0" borderId="0" xfId="3" applyNumberFormat="1" applyFont="1" applyFill="1" applyBorder="1" applyAlignment="1">
      <alignment vertical="center" wrapText="1"/>
    </xf>
    <xf numFmtId="0" fontId="36" fillId="0" borderId="4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21" xfId="0" applyFont="1" applyBorder="1" applyAlignment="1">
      <alignment horizontal="center"/>
    </xf>
    <xf numFmtId="0" fontId="21" fillId="0" borderId="14" xfId="0" applyFont="1" applyBorder="1" applyAlignment="1">
      <alignment horizontal="right"/>
    </xf>
    <xf numFmtId="0" fontId="21" fillId="0" borderId="0" xfId="0" applyFont="1" applyAlignment="1">
      <alignment horizontal="right"/>
    </xf>
    <xf numFmtId="43" fontId="21" fillId="0" borderId="0" xfId="1" applyFont="1" applyFill="1" applyBorder="1" applyAlignment="1">
      <alignment horizontal="center" vertical="center" wrapText="1"/>
    </xf>
    <xf numFmtId="43" fontId="21" fillId="0" borderId="5" xfId="1" applyFont="1" applyFill="1" applyBorder="1" applyAlignment="1">
      <alignment horizontal="center" vertical="center" wrapText="1"/>
    </xf>
    <xf numFmtId="0" fontId="41" fillId="0" borderId="4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21" xfId="0" applyFont="1" applyBorder="1" applyAlignment="1">
      <alignment horizontal="center"/>
    </xf>
    <xf numFmtId="0" fontId="21" fillId="0" borderId="4" xfId="0" applyFont="1" applyBorder="1"/>
    <xf numFmtId="164" fontId="46" fillId="0" borderId="0" xfId="0" applyNumberFormat="1" applyFont="1" applyAlignment="1">
      <alignment horizontal="center"/>
    </xf>
    <xf numFmtId="2" fontId="36" fillId="0" borderId="0" xfId="3" applyNumberFormat="1" applyFont="1" applyFill="1" applyBorder="1" applyAlignment="1">
      <alignment horizontal="left"/>
    </xf>
    <xf numFmtId="43" fontId="21" fillId="0" borderId="0" xfId="1" applyFont="1" applyFill="1" applyBorder="1" applyAlignment="1">
      <alignment wrapText="1"/>
    </xf>
    <xf numFmtId="164" fontId="21" fillId="0" borderId="0" xfId="3" applyFont="1" applyFill="1" applyBorder="1" applyAlignment="1">
      <alignment wrapText="1"/>
    </xf>
    <xf numFmtId="164" fontId="21" fillId="0" borderId="5" xfId="3" applyFont="1" applyFill="1" applyBorder="1" applyAlignment="1">
      <alignment wrapText="1"/>
    </xf>
    <xf numFmtId="164" fontId="47" fillId="0" borderId="0" xfId="3" applyFont="1" applyFill="1" applyBorder="1" applyAlignment="1">
      <alignment horizontal="center"/>
    </xf>
    <xf numFmtId="164" fontId="47" fillId="0" borderId="21" xfId="3" applyFont="1" applyFill="1" applyBorder="1" applyAlignment="1">
      <alignment horizontal="center"/>
    </xf>
    <xf numFmtId="43" fontId="36" fillId="0" borderId="0" xfId="1" applyFont="1" applyFill="1" applyBorder="1" applyAlignment="1">
      <alignment horizontal="center"/>
    </xf>
    <xf numFmtId="43" fontId="36" fillId="0" borderId="0" xfId="1" applyFont="1" applyFill="1" applyBorder="1" applyAlignment="1"/>
    <xf numFmtId="2" fontId="48" fillId="0" borderId="0" xfId="3" applyNumberFormat="1" applyFont="1" applyFill="1" applyBorder="1" applyAlignment="1">
      <alignment horizontal="center"/>
    </xf>
    <xf numFmtId="2" fontId="48" fillId="0" borderId="5" xfId="3" applyNumberFormat="1" applyFont="1" applyFill="1" applyBorder="1" applyAlignment="1"/>
    <xf numFmtId="2" fontId="48" fillId="0" borderId="0" xfId="3" applyNumberFormat="1" applyFont="1" applyFill="1" applyBorder="1" applyAlignment="1"/>
    <xf numFmtId="2" fontId="49" fillId="0" borderId="0" xfId="3" applyNumberFormat="1" applyFont="1" applyFill="1" applyBorder="1" applyAlignment="1">
      <alignment horizontal="center"/>
    </xf>
    <xf numFmtId="2" fontId="49" fillId="0" borderId="5" xfId="3" applyNumberFormat="1" applyFont="1" applyFill="1" applyBorder="1" applyAlignment="1"/>
    <xf numFmtId="2" fontId="49" fillId="0" borderId="0" xfId="3" applyNumberFormat="1" applyFont="1" applyFill="1" applyBorder="1" applyAlignment="1"/>
    <xf numFmtId="2" fontId="36" fillId="0" borderId="0" xfId="3" applyNumberFormat="1" applyFont="1" applyFill="1" applyBorder="1" applyAlignment="1">
      <alignment horizontal="center"/>
    </xf>
    <xf numFmtId="0" fontId="38" fillId="0" borderId="12" xfId="0" applyFont="1" applyBorder="1" applyAlignment="1">
      <alignment horizontal="center" wrapText="1"/>
    </xf>
    <xf numFmtId="0" fontId="36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43" fontId="36" fillId="0" borderId="0" xfId="1" applyFont="1" applyFill="1" applyBorder="1" applyAlignment="1">
      <alignment horizontal="left"/>
    </xf>
    <xf numFmtId="2" fontId="21" fillId="0" borderId="0" xfId="3" applyNumberFormat="1" applyFont="1" applyFill="1" applyBorder="1" applyAlignment="1">
      <alignment horizontal="center"/>
    </xf>
    <xf numFmtId="2" fontId="21" fillId="0" borderId="56" xfId="3" applyNumberFormat="1" applyFont="1" applyFill="1" applyBorder="1" applyAlignment="1">
      <alignment horizontal="center" wrapText="1"/>
    </xf>
    <xf numFmtId="0" fontId="38" fillId="0" borderId="22" xfId="0" applyFont="1" applyBorder="1"/>
    <xf numFmtId="0" fontId="21" fillId="0" borderId="23" xfId="0" applyFont="1" applyBorder="1" applyAlignment="1">
      <alignment horizontal="left"/>
    </xf>
    <xf numFmtId="0" fontId="21" fillId="0" borderId="23" xfId="0" applyFont="1" applyBorder="1" applyAlignment="1">
      <alignment horizontal="left"/>
    </xf>
    <xf numFmtId="43" fontId="21" fillId="0" borderId="23" xfId="1" applyFont="1" applyFill="1" applyBorder="1" applyAlignment="1">
      <alignment horizontal="left"/>
    </xf>
    <xf numFmtId="0" fontId="21" fillId="0" borderId="23" xfId="0" applyFont="1" applyBorder="1" applyAlignment="1">
      <alignment horizontal="center"/>
    </xf>
    <xf numFmtId="0" fontId="21" fillId="0" borderId="24" xfId="0" applyFont="1" applyBorder="1" applyAlignment="1">
      <alignment horizontal="center"/>
    </xf>
    <xf numFmtId="0" fontId="21" fillId="0" borderId="23" xfId="0" applyFont="1" applyBorder="1" applyAlignment="1">
      <alignment horizontal="right"/>
    </xf>
    <xf numFmtId="0" fontId="36" fillId="0" borderId="23" xfId="0" applyFont="1" applyBorder="1"/>
    <xf numFmtId="164" fontId="36" fillId="0" borderId="54" xfId="3" applyFont="1" applyFill="1" applyBorder="1" applyAlignment="1">
      <alignment horizontal="center"/>
    </xf>
    <xf numFmtId="43" fontId="36" fillId="0" borderId="23" xfId="1" applyFont="1" applyFill="1" applyBorder="1" applyAlignment="1"/>
    <xf numFmtId="43" fontId="21" fillId="0" borderId="23" xfId="1" applyFont="1" applyFill="1" applyBorder="1" applyAlignment="1">
      <alignment horizontal="center"/>
    </xf>
    <xf numFmtId="2" fontId="21" fillId="0" borderId="23" xfId="3" applyNumberFormat="1" applyFont="1" applyFill="1" applyBorder="1" applyAlignment="1">
      <alignment horizontal="center"/>
    </xf>
    <xf numFmtId="2" fontId="21" fillId="0" borderId="23" xfId="3" applyNumberFormat="1" applyFont="1" applyFill="1" applyBorder="1" applyAlignment="1">
      <alignment horizontal="right"/>
    </xf>
    <xf numFmtId="2" fontId="36" fillId="0" borderId="23" xfId="3" applyNumberFormat="1" applyFont="1" applyFill="1" applyBorder="1" applyAlignment="1">
      <alignment horizontal="center"/>
    </xf>
    <xf numFmtId="2" fontId="21" fillId="0" borderId="27" xfId="3" applyNumberFormat="1" applyFont="1" applyFill="1" applyBorder="1" applyAlignment="1">
      <alignment horizontal="center" wrapText="1"/>
    </xf>
    <xf numFmtId="0" fontId="0" fillId="0" borderId="4" xfId="0" applyBorder="1"/>
    <xf numFmtId="0" fontId="31" fillId="0" borderId="0" xfId="0" applyFont="1"/>
    <xf numFmtId="43" fontId="0" fillId="0" borderId="0" xfId="0" applyNumberFormat="1"/>
    <xf numFmtId="43" fontId="0" fillId="0" borderId="0" xfId="1" applyFont="1" applyFill="1" applyAlignment="1"/>
    <xf numFmtId="43" fontId="31" fillId="0" borderId="0" xfId="1" applyFont="1" applyFill="1"/>
    <xf numFmtId="164" fontId="38" fillId="0" borderId="0" xfId="0" applyNumberFormat="1" applyFont="1"/>
    <xf numFmtId="43" fontId="38" fillId="0" borderId="0" xfId="1" applyFont="1" applyFill="1" applyAlignment="1"/>
    <xf numFmtId="0" fontId="0" fillId="0" borderId="0" xfId="0" applyAlignment="1">
      <alignment horizontal="center" wrapText="1"/>
    </xf>
    <xf numFmtId="43" fontId="50" fillId="0" borderId="0" xfId="1" applyFont="1" applyFill="1"/>
    <xf numFmtId="43" fontId="2" fillId="0" borderId="0" xfId="0" applyNumberFormat="1" applyFont="1"/>
    <xf numFmtId="2" fontId="29" fillId="0" borderId="0" xfId="3" applyNumberFormat="1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21" fillId="0" borderId="22" xfId="0" applyFont="1" applyBorder="1"/>
    <xf numFmtId="0" fontId="21" fillId="0" borderId="23" xfId="0" applyFont="1" applyBorder="1"/>
    <xf numFmtId="0" fontId="41" fillId="0" borderId="23" xfId="0" applyFont="1" applyBorder="1" applyAlignment="1">
      <alignment horizontal="center"/>
    </xf>
    <xf numFmtId="0" fontId="41" fillId="0" borderId="23" xfId="0" applyFont="1" applyBorder="1" applyAlignment="1">
      <alignment horizontal="right"/>
    </xf>
    <xf numFmtId="0" fontId="43" fillId="0" borderId="23" xfId="0" applyFont="1" applyBorder="1"/>
    <xf numFmtId="0" fontId="38" fillId="0" borderId="23" xfId="0" applyFont="1" applyBorder="1"/>
    <xf numFmtId="43" fontId="41" fillId="0" borderId="23" xfId="1" applyFont="1" applyFill="1" applyBorder="1"/>
    <xf numFmtId="0" fontId="38" fillId="0" borderId="23" xfId="0" applyFont="1" applyBorder="1" applyAlignment="1">
      <alignment horizontal="right"/>
    </xf>
    <xf numFmtId="0" fontId="52" fillId="0" borderId="23" xfId="0" applyFont="1" applyBorder="1"/>
    <xf numFmtId="0" fontId="38" fillId="0" borderId="27" xfId="0" applyFont="1" applyBorder="1" applyAlignment="1">
      <alignment horizontal="center" wrapText="1"/>
    </xf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 wrapText="1"/>
    </xf>
    <xf numFmtId="2" fontId="37" fillId="0" borderId="36" xfId="3" applyNumberFormat="1" applyFont="1" applyFill="1" applyBorder="1" applyAlignment="1">
      <alignment horizontal="center" vertical="center" wrapText="1"/>
    </xf>
    <xf numFmtId="2" fontId="36" fillId="0" borderId="36" xfId="3" applyNumberFormat="1" applyFont="1" applyFill="1" applyBorder="1" applyAlignment="1">
      <alignment horizontal="center" vertical="center" wrapText="1"/>
    </xf>
    <xf numFmtId="0" fontId="36" fillId="0" borderId="57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58" xfId="0" applyFont="1" applyBorder="1" applyAlignment="1">
      <alignment horizontal="center"/>
    </xf>
    <xf numFmtId="0" fontId="21" fillId="0" borderId="37" xfId="0" applyFont="1" applyBorder="1" applyAlignment="1">
      <alignment horizontal="right"/>
    </xf>
    <xf numFmtId="2" fontId="36" fillId="0" borderId="7" xfId="3" applyNumberFormat="1" applyFont="1" applyFill="1" applyBorder="1" applyAlignment="1">
      <alignment horizontal="center"/>
    </xf>
    <xf numFmtId="2" fontId="36" fillId="0" borderId="38" xfId="3" applyNumberFormat="1" applyFont="1" applyFill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 wrapText="1"/>
    </xf>
    <xf numFmtId="2" fontId="37" fillId="0" borderId="13" xfId="3" applyNumberFormat="1" applyFont="1" applyFill="1" applyBorder="1" applyAlignment="1">
      <alignment horizontal="center" vertical="center" wrapText="1"/>
    </xf>
    <xf numFmtId="2" fontId="36" fillId="0" borderId="13" xfId="3" applyNumberFormat="1" applyFont="1" applyFill="1" applyBorder="1" applyAlignment="1">
      <alignment horizontal="center" vertical="center" wrapText="1"/>
    </xf>
    <xf numFmtId="2" fontId="36" fillId="0" borderId="30" xfId="3" applyNumberFormat="1" applyFont="1" applyFill="1" applyBorder="1" applyAlignment="1">
      <alignment horizontal="center" vertical="center"/>
    </xf>
    <xf numFmtId="2" fontId="36" fillId="0" borderId="30" xfId="3" applyNumberFormat="1" applyFont="1" applyFill="1" applyBorder="1" applyAlignment="1">
      <alignment horizontal="center" vertical="center" wrapText="1"/>
    </xf>
    <xf numFmtId="43" fontId="36" fillId="0" borderId="30" xfId="1" applyFont="1" applyFill="1" applyBorder="1" applyAlignment="1">
      <alignment horizontal="center" vertical="center" wrapText="1"/>
    </xf>
    <xf numFmtId="0" fontId="36" fillId="0" borderId="30" xfId="0" applyFont="1" applyBorder="1" applyAlignment="1">
      <alignment horizontal="center" vertical="center" wrapText="1"/>
    </xf>
    <xf numFmtId="2" fontId="36" fillId="0" borderId="41" xfId="3" applyNumberFormat="1" applyFont="1" applyFill="1" applyBorder="1" applyAlignment="1">
      <alignment horizontal="center" vertical="center" wrapText="1"/>
    </xf>
    <xf numFmtId="2" fontId="36" fillId="0" borderId="13" xfId="3" applyNumberFormat="1" applyFont="1" applyFill="1" applyBorder="1" applyAlignment="1">
      <alignment horizontal="center" vertical="center"/>
    </xf>
    <xf numFmtId="43" fontId="36" fillId="0" borderId="13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36" fillId="0" borderId="13" xfId="3" applyNumberFormat="1" applyFont="1" applyFill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36" fillId="0" borderId="10" xfId="0" applyFont="1" applyBorder="1" applyAlignment="1">
      <alignment horizontal="center" vertical="center" wrapText="1"/>
    </xf>
    <xf numFmtId="2" fontId="37" fillId="0" borderId="10" xfId="3" applyNumberFormat="1" applyFont="1" applyFill="1" applyBorder="1" applyAlignment="1">
      <alignment horizontal="center" vertical="center" wrapText="1"/>
    </xf>
    <xf numFmtId="2" fontId="36" fillId="0" borderId="10" xfId="3" applyNumberFormat="1" applyFont="1" applyFill="1" applyBorder="1" applyAlignment="1">
      <alignment horizontal="center" vertical="center" wrapText="1"/>
    </xf>
    <xf numFmtId="2" fontId="36" fillId="0" borderId="10" xfId="3" applyNumberFormat="1" applyFont="1" applyFill="1" applyBorder="1" applyAlignment="1">
      <alignment horizontal="center" vertical="center"/>
    </xf>
    <xf numFmtId="43" fontId="36" fillId="0" borderId="10" xfId="1" applyFont="1" applyFill="1" applyBorder="1" applyAlignment="1">
      <alignment horizontal="center" vertical="center" wrapText="1"/>
    </xf>
    <xf numFmtId="2" fontId="36" fillId="0" borderId="42" xfId="3" applyNumberFormat="1" applyFont="1" applyFill="1" applyBorder="1" applyAlignment="1">
      <alignment horizontal="center" vertical="center" wrapText="1"/>
    </xf>
    <xf numFmtId="2" fontId="53" fillId="0" borderId="29" xfId="3" applyNumberFormat="1" applyFont="1" applyFill="1" applyBorder="1" applyAlignment="1">
      <alignment horizontal="right" vertical="center"/>
    </xf>
    <xf numFmtId="43" fontId="54" fillId="0" borderId="29" xfId="1" applyFont="1" applyFill="1" applyBorder="1" applyAlignment="1">
      <alignment horizontal="center" vertical="center" wrapText="1"/>
    </xf>
    <xf numFmtId="2" fontId="53" fillId="0" borderId="29" xfId="0" applyNumberFormat="1" applyFont="1" applyBorder="1" applyAlignment="1">
      <alignment horizontal="center"/>
    </xf>
    <xf numFmtId="2" fontId="53" fillId="0" borderId="29" xfId="3" applyNumberFormat="1" applyFont="1" applyFill="1" applyBorder="1" applyAlignment="1">
      <alignment horizontal="center" vertical="center"/>
    </xf>
    <xf numFmtId="43" fontId="54" fillId="0" borderId="29" xfId="1" applyFont="1" applyFill="1" applyBorder="1" applyAlignment="1">
      <alignment horizontal="right"/>
    </xf>
    <xf numFmtId="43" fontId="53" fillId="0" borderId="29" xfId="1" applyFont="1" applyFill="1" applyBorder="1" applyAlignment="1">
      <alignment horizontal="right"/>
    </xf>
    <xf numFmtId="2" fontId="53" fillId="0" borderId="29" xfId="3" quotePrefix="1" applyNumberFormat="1" applyFont="1" applyFill="1" applyBorder="1" applyAlignment="1">
      <alignment horizontal="right"/>
    </xf>
    <xf numFmtId="43" fontId="53" fillId="0" borderId="29" xfId="1" applyFont="1" applyFill="1" applyBorder="1" applyAlignment="1">
      <alignment horizontal="center"/>
    </xf>
    <xf numFmtId="49" fontId="53" fillId="0" borderId="29" xfId="3" applyNumberFormat="1" applyFont="1" applyFill="1" applyBorder="1" applyAlignment="1">
      <alignment horizontal="center" vertical="center"/>
    </xf>
    <xf numFmtId="43" fontId="53" fillId="0" borderId="29" xfId="1" applyFont="1" applyFill="1" applyBorder="1" applyAlignment="1">
      <alignment horizontal="right" vertical="center"/>
    </xf>
    <xf numFmtId="2" fontId="36" fillId="0" borderId="47" xfId="3" applyNumberFormat="1" applyFont="1" applyFill="1" applyBorder="1" applyAlignment="1">
      <alignment horizontal="center" vertical="center" wrapText="1"/>
    </xf>
    <xf numFmtId="43" fontId="32" fillId="0" borderId="0" xfId="1" applyFont="1" applyFill="1" applyBorder="1"/>
    <xf numFmtId="43" fontId="41" fillId="0" borderId="0" xfId="0" applyNumberFormat="1" applyFont="1"/>
    <xf numFmtId="43" fontId="53" fillId="0" borderId="29" xfId="1" applyFont="1" applyFill="1" applyBorder="1" applyAlignment="1">
      <alignment horizontal="center" vertical="center" wrapText="1"/>
    </xf>
    <xf numFmtId="43" fontId="52" fillId="0" borderId="0" xfId="1" applyFont="1" applyFill="1" applyBorder="1"/>
    <xf numFmtId="2" fontId="53" fillId="0" borderId="29" xfId="1" applyNumberFormat="1" applyFont="1" applyFill="1" applyBorder="1" applyAlignment="1">
      <alignment horizontal="center" vertical="center"/>
    </xf>
    <xf numFmtId="2" fontId="24" fillId="0" borderId="29" xfId="3" applyNumberFormat="1" applyFont="1" applyFill="1" applyBorder="1" applyAlignment="1">
      <alignment horizontal="center" vertical="center"/>
    </xf>
    <xf numFmtId="2" fontId="53" fillId="5" borderId="29" xfId="3" quotePrefix="1" applyNumberFormat="1" applyFont="1" applyFill="1" applyBorder="1" applyAlignment="1">
      <alignment horizontal="right"/>
    </xf>
    <xf numFmtId="2" fontId="36" fillId="0" borderId="46" xfId="3" applyNumberFormat="1" applyFont="1" applyFill="1" applyBorder="1" applyAlignment="1">
      <alignment horizontal="center" vertical="center" wrapText="1"/>
    </xf>
    <xf numFmtId="43" fontId="53" fillId="0" borderId="29" xfId="0" applyNumberFormat="1" applyFont="1" applyBorder="1"/>
    <xf numFmtId="43" fontId="53" fillId="0" borderId="29" xfId="1" applyFont="1" applyFill="1" applyBorder="1" applyAlignment="1">
      <alignment horizontal="center" vertical="center"/>
    </xf>
    <xf numFmtId="2" fontId="53" fillId="0" borderId="29" xfId="1" applyNumberFormat="1" applyFont="1" applyBorder="1" applyAlignment="1">
      <alignment horizontal="center"/>
    </xf>
    <xf numFmtId="2" fontId="21" fillId="5" borderId="29" xfId="3" quotePrefix="1" applyNumberFormat="1" applyFont="1" applyFill="1" applyBorder="1" applyAlignment="1">
      <alignment horizontal="right"/>
    </xf>
    <xf numFmtId="0" fontId="55" fillId="0" borderId="31" xfId="0" quotePrefix="1" applyFont="1" applyBorder="1" applyAlignment="1">
      <alignment horizontal="center"/>
    </xf>
    <xf numFmtId="0" fontId="56" fillId="0" borderId="29" xfId="0" applyFont="1" applyBorder="1"/>
    <xf numFmtId="0" fontId="57" fillId="0" borderId="29" xfId="0" applyFont="1" applyBorder="1"/>
    <xf numFmtId="0" fontId="56" fillId="0" borderId="29" xfId="0" applyFont="1" applyBorder="1" applyAlignment="1">
      <alignment horizontal="center"/>
    </xf>
    <xf numFmtId="0" fontId="56" fillId="0" borderId="29" xfId="0" applyFont="1" applyBorder="1" applyAlignment="1">
      <alignment horizontal="right"/>
    </xf>
    <xf numFmtId="43" fontId="58" fillId="0" borderId="29" xfId="1" applyFont="1" applyFill="1" applyBorder="1"/>
    <xf numFmtId="0" fontId="55" fillId="0" borderId="47" xfId="3" applyNumberFormat="1" applyFont="1" applyFill="1" applyBorder="1" applyAlignment="1">
      <alignment horizontal="center" wrapText="1"/>
    </xf>
    <xf numFmtId="0" fontId="57" fillId="0" borderId="0" xfId="0" applyFont="1"/>
    <xf numFmtId="0" fontId="59" fillId="0" borderId="0" xfId="0" applyFont="1"/>
    <xf numFmtId="0" fontId="36" fillId="0" borderId="4" xfId="0" applyFont="1" applyBorder="1" applyAlignment="1">
      <alignment horizontal="left"/>
    </xf>
    <xf numFmtId="0" fontId="41" fillId="0" borderId="0" xfId="0" applyFont="1" applyAlignment="1">
      <alignment horizontal="center"/>
    </xf>
    <xf numFmtId="2" fontId="36" fillId="0" borderId="14" xfId="3" applyNumberFormat="1" applyFont="1" applyFill="1" applyBorder="1" applyAlignment="1">
      <alignment horizontal="left"/>
    </xf>
    <xf numFmtId="2" fontId="36" fillId="0" borderId="0" xfId="3" applyNumberFormat="1" applyFont="1" applyFill="1" applyBorder="1" applyAlignment="1">
      <alignment horizontal="left"/>
    </xf>
    <xf numFmtId="2" fontId="36" fillId="0" borderId="21" xfId="3" applyNumberFormat="1" applyFont="1" applyFill="1" applyBorder="1" applyAlignment="1">
      <alignment horizontal="left"/>
    </xf>
    <xf numFmtId="2" fontId="36" fillId="0" borderId="13" xfId="3" applyNumberFormat="1" applyFont="1" applyFill="1" applyBorder="1" applyAlignment="1">
      <alignment horizontal="center"/>
    </xf>
    <xf numFmtId="2" fontId="36" fillId="0" borderId="21" xfId="3" applyNumberFormat="1" applyFont="1" applyFill="1" applyBorder="1" applyAlignment="1">
      <alignment horizontal="center"/>
    </xf>
    <xf numFmtId="43" fontId="36" fillId="0" borderId="14" xfId="1" applyFont="1" applyFill="1" applyBorder="1" applyAlignment="1">
      <alignment horizontal="left"/>
    </xf>
    <xf numFmtId="43" fontId="36" fillId="0" borderId="0" xfId="1" applyFont="1" applyFill="1" applyBorder="1" applyAlignment="1">
      <alignment horizontal="left"/>
    </xf>
    <xf numFmtId="43" fontId="54" fillId="0" borderId="0" xfId="1" applyFont="1" applyFill="1" applyBorder="1" applyAlignment="1">
      <alignment horizontal="center"/>
    </xf>
    <xf numFmtId="43" fontId="54" fillId="0" borderId="5" xfId="1" applyFont="1" applyFill="1" applyBorder="1" applyAlignment="1">
      <alignment horizontal="center"/>
    </xf>
    <xf numFmtId="0" fontId="60" fillId="0" borderId="0" xfId="0" applyFont="1"/>
    <xf numFmtId="0" fontId="44" fillId="0" borderId="14" xfId="0" applyFont="1" applyBorder="1"/>
    <xf numFmtId="164" fontId="53" fillId="0" borderId="13" xfId="3" applyFont="1" applyFill="1" applyBorder="1" applyAlignment="1">
      <alignment horizontal="center"/>
    </xf>
    <xf numFmtId="164" fontId="53" fillId="0" borderId="21" xfId="3" applyFont="1" applyFill="1" applyBorder="1" applyAlignment="1">
      <alignment horizontal="center"/>
    </xf>
    <xf numFmtId="164" fontId="21" fillId="0" borderId="0" xfId="3" applyFont="1" applyFill="1" applyBorder="1" applyAlignment="1">
      <alignment horizontal="center"/>
    </xf>
    <xf numFmtId="0" fontId="21" fillId="0" borderId="0" xfId="3" applyNumberFormat="1" applyFont="1" applyFill="1" applyBorder="1" applyAlignment="1">
      <alignment horizontal="left"/>
    </xf>
    <xf numFmtId="2" fontId="36" fillId="0" borderId="14" xfId="0" applyNumberFormat="1" applyFont="1" applyBorder="1" applyAlignment="1">
      <alignment horizontal="center"/>
    </xf>
    <xf numFmtId="164" fontId="60" fillId="0" borderId="0" xfId="0" applyNumberFormat="1" applyFont="1"/>
    <xf numFmtId="164" fontId="53" fillId="0" borderId="21" xfId="3" applyFont="1" applyFill="1" applyBorder="1" applyAlignment="1">
      <alignment horizontal="right"/>
    </xf>
    <xf numFmtId="0" fontId="21" fillId="0" borderId="14" xfId="0" applyFont="1" applyBorder="1" applyAlignment="1">
      <alignment horizontal="center"/>
    </xf>
    <xf numFmtId="43" fontId="60" fillId="0" borderId="0" xfId="0" applyNumberFormat="1" applyFont="1"/>
    <xf numFmtId="164" fontId="21" fillId="0" borderId="0" xfId="3" applyFont="1" applyFill="1" applyBorder="1" applyAlignment="1">
      <alignment horizontal="right"/>
    </xf>
    <xf numFmtId="0" fontId="4" fillId="0" borderId="21" xfId="0" applyFont="1" applyBorder="1" applyAlignment="1">
      <alignment horizontal="left"/>
    </xf>
    <xf numFmtId="43" fontId="21" fillId="0" borderId="14" xfId="1" applyFont="1" applyFill="1" applyBorder="1" applyAlignment="1">
      <alignment horizontal="center" vertical="center" wrapText="1"/>
    </xf>
    <xf numFmtId="0" fontId="36" fillId="0" borderId="21" xfId="0" applyFont="1" applyBorder="1"/>
    <xf numFmtId="2" fontId="21" fillId="0" borderId="5" xfId="3" applyNumberFormat="1" applyFont="1" applyFill="1" applyBorder="1" applyAlignment="1">
      <alignment horizontal="center" wrapText="1"/>
    </xf>
    <xf numFmtId="0" fontId="36" fillId="0" borderId="24" xfId="0" applyFont="1" applyBorder="1"/>
    <xf numFmtId="164" fontId="54" fillId="0" borderId="54" xfId="3" applyFont="1" applyFill="1" applyBorder="1" applyAlignment="1">
      <alignment horizontal="center"/>
    </xf>
    <xf numFmtId="164" fontId="54" fillId="0" borderId="24" xfId="3" applyFont="1" applyFill="1" applyBorder="1" applyAlignment="1">
      <alignment horizontal="center"/>
    </xf>
    <xf numFmtId="164" fontId="36" fillId="0" borderId="23" xfId="3" applyFont="1" applyFill="1" applyBorder="1" applyAlignment="1">
      <alignment horizontal="center"/>
    </xf>
    <xf numFmtId="0" fontId="30" fillId="0" borderId="22" xfId="0" applyFont="1" applyBorder="1"/>
    <xf numFmtId="0" fontId="30" fillId="0" borderId="23" xfId="0" applyFont="1" applyBorder="1"/>
    <xf numFmtId="0" fontId="30" fillId="0" borderId="23" xfId="0" applyFont="1" applyBorder="1" applyAlignment="1">
      <alignment horizontal="center"/>
    </xf>
    <xf numFmtId="0" fontId="31" fillId="0" borderId="23" xfId="0" applyFont="1" applyBorder="1" applyAlignment="1">
      <alignment horizontal="center"/>
    </xf>
    <xf numFmtId="0" fontId="31" fillId="0" borderId="23" xfId="0" applyFont="1" applyBorder="1" applyAlignment="1">
      <alignment horizontal="right"/>
    </xf>
    <xf numFmtId="0" fontId="2" fillId="0" borderId="23" xfId="0" applyFont="1" applyBorder="1"/>
    <xf numFmtId="0" fontId="0" fillId="0" borderId="23" xfId="0" applyBorder="1"/>
    <xf numFmtId="43" fontId="31" fillId="0" borderId="23" xfId="1" applyFont="1" applyFill="1" applyBorder="1"/>
    <xf numFmtId="0" fontId="0" fillId="0" borderId="23" xfId="0" applyBorder="1" applyAlignment="1">
      <alignment horizontal="right"/>
    </xf>
    <xf numFmtId="0" fontId="32" fillId="0" borderId="23" xfId="0" applyFont="1" applyBorder="1"/>
    <xf numFmtId="0" fontId="0" fillId="0" borderId="27" xfId="0" applyBorder="1" applyAlignment="1">
      <alignment horizontal="center" wrapText="1"/>
    </xf>
    <xf numFmtId="0" fontId="29" fillId="0" borderId="35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/>
    </xf>
    <xf numFmtId="0" fontId="34" fillId="0" borderId="36" xfId="0" applyFont="1" applyBorder="1" applyAlignment="1">
      <alignment horizontal="center" vertical="center" wrapText="1"/>
    </xf>
    <xf numFmtId="2" fontId="8" fillId="0" borderId="36" xfId="3" applyNumberFormat="1" applyFont="1" applyFill="1" applyBorder="1" applyAlignment="1">
      <alignment horizontal="center" vertical="center" wrapText="1"/>
    </xf>
    <xf numFmtId="2" fontId="35" fillId="0" borderId="36" xfId="3" applyNumberFormat="1" applyFont="1" applyFill="1" applyBorder="1" applyAlignment="1">
      <alignment horizontal="center" vertical="center" wrapText="1"/>
    </xf>
    <xf numFmtId="2" fontId="29" fillId="0" borderId="36" xfId="3" applyNumberFormat="1" applyFont="1" applyFill="1" applyBorder="1" applyAlignment="1">
      <alignment horizontal="center" vertical="center" wrapText="1"/>
    </xf>
    <xf numFmtId="0" fontId="29" fillId="0" borderId="57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58" xfId="0" applyFont="1" applyBorder="1" applyAlignment="1">
      <alignment horizontal="center"/>
    </xf>
    <xf numFmtId="0" fontId="30" fillId="0" borderId="37" xfId="0" applyFont="1" applyBorder="1" applyAlignment="1">
      <alignment horizontal="right"/>
    </xf>
    <xf numFmtId="2" fontId="29" fillId="0" borderId="7" xfId="3" applyNumberFormat="1" applyFont="1" applyFill="1" applyBorder="1" applyAlignment="1">
      <alignment horizontal="center"/>
    </xf>
    <xf numFmtId="2" fontId="34" fillId="0" borderId="38" xfId="3" applyNumberFormat="1" applyFont="1" applyFill="1" applyBorder="1" applyAlignment="1">
      <alignment horizontal="center" vertical="center" wrapText="1"/>
    </xf>
    <xf numFmtId="0" fontId="29" fillId="0" borderId="34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/>
    </xf>
    <xf numFmtId="0" fontId="34" fillId="0" borderId="13" xfId="0" applyFont="1" applyBorder="1" applyAlignment="1">
      <alignment horizontal="center" vertical="center" wrapText="1"/>
    </xf>
    <xf numFmtId="2" fontId="8" fillId="0" borderId="13" xfId="3" applyNumberFormat="1" applyFont="1" applyFill="1" applyBorder="1" applyAlignment="1">
      <alignment horizontal="center" vertical="center" wrapText="1"/>
    </xf>
    <xf numFmtId="2" fontId="35" fillId="0" borderId="13" xfId="3" applyNumberFormat="1" applyFont="1" applyFill="1" applyBorder="1" applyAlignment="1">
      <alignment horizontal="center" vertical="center" wrapText="1"/>
    </xf>
    <xf numFmtId="2" fontId="29" fillId="0" borderId="13" xfId="3" applyNumberFormat="1" applyFont="1" applyFill="1" applyBorder="1" applyAlignment="1">
      <alignment horizontal="center" vertical="center" wrapText="1"/>
    </xf>
    <xf numFmtId="2" fontId="29" fillId="0" borderId="29" xfId="3" applyNumberFormat="1" applyFont="1" applyFill="1" applyBorder="1" applyAlignment="1">
      <alignment horizontal="center" vertical="center" wrapText="1"/>
    </xf>
    <xf numFmtId="2" fontId="29" fillId="0" borderId="30" xfId="3" applyNumberFormat="1" applyFont="1" applyFill="1" applyBorder="1" applyAlignment="1">
      <alignment horizontal="center" vertical="center"/>
    </xf>
    <xf numFmtId="43" fontId="29" fillId="0" borderId="30" xfId="1" applyFont="1" applyFill="1" applyBorder="1" applyAlignment="1">
      <alignment horizontal="center" vertical="center" wrapText="1"/>
    </xf>
    <xf numFmtId="0" fontId="29" fillId="0" borderId="30" xfId="0" applyFont="1" applyBorder="1" applyAlignment="1">
      <alignment horizontal="center" vertical="center" wrapText="1"/>
    </xf>
    <xf numFmtId="2" fontId="29" fillId="0" borderId="30" xfId="3" applyNumberFormat="1" applyFont="1" applyFill="1" applyBorder="1" applyAlignment="1">
      <alignment horizontal="center" vertical="center" wrapText="1"/>
    </xf>
    <xf numFmtId="2" fontId="34" fillId="0" borderId="41" xfId="3" applyNumberFormat="1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/>
    </xf>
    <xf numFmtId="2" fontId="29" fillId="0" borderId="13" xfId="3" applyNumberFormat="1" applyFont="1" applyFill="1" applyBorder="1" applyAlignment="1">
      <alignment horizontal="center" vertical="center"/>
    </xf>
    <xf numFmtId="43" fontId="29" fillId="0" borderId="13" xfId="1" applyFont="1" applyFill="1" applyBorder="1" applyAlignment="1">
      <alignment horizontal="center" vertical="center" wrapText="1"/>
    </xf>
    <xf numFmtId="0" fontId="29" fillId="0" borderId="13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34" fillId="0" borderId="10" xfId="0" applyFont="1" applyBorder="1" applyAlignment="1">
      <alignment horizontal="center" vertical="center" wrapText="1"/>
    </xf>
    <xf numFmtId="2" fontId="8" fillId="0" borderId="10" xfId="3" applyNumberFormat="1" applyFont="1" applyFill="1" applyBorder="1" applyAlignment="1">
      <alignment horizontal="center" vertical="center" wrapText="1"/>
    </xf>
    <xf numFmtId="2" fontId="35" fillId="0" borderId="10" xfId="3" applyNumberFormat="1" applyFont="1" applyFill="1" applyBorder="1" applyAlignment="1">
      <alignment horizontal="center" vertical="center" wrapText="1"/>
    </xf>
    <xf numFmtId="2" fontId="29" fillId="0" borderId="10" xfId="3" applyNumberFormat="1" applyFont="1" applyFill="1" applyBorder="1" applyAlignment="1">
      <alignment horizontal="center" vertical="center" wrapText="1"/>
    </xf>
    <xf numFmtId="2" fontId="29" fillId="0" borderId="10" xfId="3" applyNumberFormat="1" applyFont="1" applyFill="1" applyBorder="1" applyAlignment="1">
      <alignment horizontal="center" vertical="center"/>
    </xf>
    <xf numFmtId="43" fontId="29" fillId="0" borderId="10" xfId="1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2" fontId="34" fillId="0" borderId="42" xfId="3" applyNumberFormat="1" applyFont="1" applyFill="1" applyBorder="1" applyAlignment="1">
      <alignment horizontal="center" vertical="center" wrapText="1"/>
    </xf>
    <xf numFmtId="0" fontId="24" fillId="0" borderId="29" xfId="0" applyFont="1" applyBorder="1" applyAlignment="1">
      <alignment horizontal="center" vertical="center" wrapText="1"/>
    </xf>
    <xf numFmtId="43" fontId="21" fillId="6" borderId="29" xfId="1" applyFont="1" applyFill="1" applyBorder="1" applyAlignment="1">
      <alignment horizontal="center"/>
    </xf>
    <xf numFmtId="49" fontId="21" fillId="0" borderId="29" xfId="3" applyNumberFormat="1" applyFont="1" applyFill="1" applyBorder="1" applyAlignment="1">
      <alignment horizontal="center" vertical="center"/>
    </xf>
    <xf numFmtId="43" fontId="21" fillId="0" borderId="29" xfId="1" applyFont="1" applyFill="1" applyBorder="1" applyAlignment="1">
      <alignment horizontal="right" vertical="center"/>
    </xf>
    <xf numFmtId="2" fontId="61" fillId="0" borderId="47" xfId="3" applyNumberFormat="1" applyFont="1" applyFill="1" applyBorder="1" applyAlignment="1">
      <alignment horizontal="center" vertical="center" wrapText="1"/>
    </xf>
    <xf numFmtId="2" fontId="31" fillId="0" borderId="29" xfId="0" applyNumberFormat="1" applyFont="1" applyBorder="1" applyAlignment="1">
      <alignment horizontal="center"/>
    </xf>
    <xf numFmtId="43" fontId="21" fillId="0" borderId="29" xfId="0" applyNumberFormat="1" applyFont="1" applyBorder="1"/>
    <xf numFmtId="2" fontId="21" fillId="0" borderId="29" xfId="1" applyNumberFormat="1" applyFont="1" applyFill="1" applyBorder="1" applyAlignment="1">
      <alignment horizontal="right" vertical="center"/>
    </xf>
    <xf numFmtId="0" fontId="30" fillId="0" borderId="31" xfId="0" quotePrefix="1" applyFont="1" applyBorder="1" applyAlignment="1">
      <alignment horizontal="center"/>
    </xf>
    <xf numFmtId="0" fontId="41" fillId="0" borderId="59" xfId="0" applyFont="1" applyBorder="1"/>
    <xf numFmtId="0" fontId="38" fillId="0" borderId="59" xfId="0" applyFont="1" applyBorder="1"/>
    <xf numFmtId="0" fontId="41" fillId="0" borderId="59" xfId="0" applyFont="1" applyBorder="1" applyAlignment="1">
      <alignment horizontal="center"/>
    </xf>
    <xf numFmtId="0" fontId="41" fillId="0" borderId="59" xfId="0" applyFont="1" applyBorder="1" applyAlignment="1">
      <alignment horizontal="right"/>
    </xf>
    <xf numFmtId="43" fontId="2" fillId="0" borderId="60" xfId="1" applyFont="1" applyFill="1" applyBorder="1"/>
    <xf numFmtId="0" fontId="30" fillId="0" borderId="18" xfId="3" applyNumberFormat="1" applyFont="1" applyFill="1" applyBorder="1" applyAlignment="1">
      <alignment horizontal="center" wrapText="1"/>
    </xf>
    <xf numFmtId="0" fontId="48" fillId="0" borderId="4" xfId="0" applyFont="1" applyBorder="1" applyAlignment="1">
      <alignment horizontal="left"/>
    </xf>
    <xf numFmtId="0" fontId="48" fillId="0" borderId="0" xfId="0" applyFont="1" applyAlignment="1">
      <alignment horizontal="left"/>
    </xf>
    <xf numFmtId="2" fontId="62" fillId="0" borderId="0" xfId="3" applyNumberFormat="1" applyFont="1" applyFill="1" applyBorder="1" applyAlignment="1">
      <alignment horizontal="center"/>
    </xf>
    <xf numFmtId="0" fontId="63" fillId="0" borderId="21" xfId="0" applyFont="1" applyBorder="1" applyAlignment="1">
      <alignment horizontal="center"/>
    </xf>
    <xf numFmtId="2" fontId="48" fillId="0" borderId="61" xfId="3" applyNumberFormat="1" applyFont="1" applyFill="1" applyBorder="1" applyAlignment="1">
      <alignment horizontal="left" vertical="top"/>
    </xf>
    <xf numFmtId="2" fontId="48" fillId="0" borderId="19" xfId="3" applyNumberFormat="1" applyFont="1" applyFill="1" applyBorder="1" applyAlignment="1">
      <alignment horizontal="left" vertical="top"/>
    </xf>
    <xf numFmtId="2" fontId="48" fillId="0" borderId="39" xfId="3" applyNumberFormat="1" applyFont="1" applyFill="1" applyBorder="1" applyAlignment="1">
      <alignment horizontal="left" vertical="top"/>
    </xf>
    <xf numFmtId="2" fontId="48" fillId="0" borderId="62" xfId="3" applyNumberFormat="1" applyFont="1" applyFill="1" applyBorder="1" applyAlignment="1">
      <alignment horizontal="center" vertical="top"/>
    </xf>
    <xf numFmtId="2" fontId="48" fillId="0" borderId="21" xfId="3" applyNumberFormat="1" applyFont="1" applyFill="1" applyBorder="1" applyAlignment="1">
      <alignment horizontal="center" vertical="top"/>
    </xf>
    <xf numFmtId="43" fontId="48" fillId="0" borderId="61" xfId="1" applyFont="1" applyFill="1" applyBorder="1" applyAlignment="1">
      <alignment horizontal="left" vertical="top"/>
    </xf>
    <xf numFmtId="43" fontId="48" fillId="0" borderId="19" xfId="1" applyFont="1" applyFill="1" applyBorder="1" applyAlignment="1">
      <alignment horizontal="left" vertical="top"/>
    </xf>
    <xf numFmtId="0" fontId="49" fillId="0" borderId="4" xfId="0" applyFont="1" applyBorder="1" applyAlignment="1">
      <alignment horizontal="left"/>
    </xf>
    <xf numFmtId="0" fontId="49" fillId="0" borderId="0" xfId="0" applyFont="1"/>
    <xf numFmtId="0" fontId="49" fillId="0" borderId="21" xfId="0" applyFont="1" applyBorder="1" applyAlignment="1">
      <alignment horizontal="center"/>
    </xf>
    <xf numFmtId="0" fontId="49" fillId="0" borderId="14" xfId="0" applyFont="1" applyBorder="1"/>
    <xf numFmtId="2" fontId="49" fillId="0" borderId="0" xfId="3" applyNumberFormat="1" applyFont="1" applyFill="1" applyBorder="1" applyAlignment="1">
      <alignment horizontal="left"/>
    </xf>
    <xf numFmtId="2" fontId="49" fillId="0" borderId="0" xfId="3" applyNumberFormat="1" applyFont="1" applyFill="1" applyBorder="1" applyAlignment="1">
      <alignment horizontal="left"/>
    </xf>
    <xf numFmtId="164" fontId="49" fillId="0" borderId="13" xfId="3" applyFont="1" applyFill="1" applyBorder="1" applyAlignment="1">
      <alignment horizontal="center"/>
    </xf>
    <xf numFmtId="164" fontId="49" fillId="0" borderId="21" xfId="3" applyFont="1" applyFill="1" applyBorder="1" applyAlignment="1">
      <alignment horizontal="center"/>
    </xf>
    <xf numFmtId="164" fontId="49" fillId="0" borderId="0" xfId="3" applyFont="1" applyFill="1" applyBorder="1" applyAlignment="1">
      <alignment horizontal="center"/>
    </xf>
    <xf numFmtId="43" fontId="49" fillId="0" borderId="0" xfId="1" applyFont="1" applyFill="1" applyBorder="1" applyAlignment="1">
      <alignment horizontal="center"/>
    </xf>
    <xf numFmtId="2" fontId="49" fillId="0" borderId="0" xfId="3" applyNumberFormat="1" applyFont="1" applyFill="1" applyBorder="1" applyAlignment="1">
      <alignment horizontal="center"/>
    </xf>
    <xf numFmtId="2" fontId="49" fillId="0" borderId="0" xfId="3" applyNumberFormat="1" applyFont="1" applyFill="1" applyBorder="1" applyAlignment="1">
      <alignment horizontal="right"/>
    </xf>
    <xf numFmtId="2" fontId="48" fillId="0" borderId="0" xfId="3" applyNumberFormat="1" applyFont="1" applyFill="1" applyBorder="1" applyAlignment="1">
      <alignment horizontal="center"/>
    </xf>
    <xf numFmtId="2" fontId="48" fillId="0" borderId="5" xfId="3" applyNumberFormat="1" applyFont="1" applyFill="1" applyBorder="1" applyAlignment="1">
      <alignment horizontal="center" wrapText="1"/>
    </xf>
    <xf numFmtId="2" fontId="48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2" fontId="48" fillId="0" borderId="14" xfId="0" applyNumberFormat="1" applyFont="1" applyBorder="1" applyAlignment="1">
      <alignment horizontal="center"/>
    </xf>
    <xf numFmtId="2" fontId="48" fillId="0" borderId="0" xfId="0" applyNumberFormat="1" applyFont="1" applyAlignment="1">
      <alignment horizontal="center"/>
    </xf>
    <xf numFmtId="2" fontId="48" fillId="0" borderId="5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21" xfId="0" applyFont="1" applyBorder="1" applyAlignment="1">
      <alignment horizontal="center"/>
    </xf>
    <xf numFmtId="164" fontId="49" fillId="0" borderId="21" xfId="3" applyFont="1" applyFill="1" applyBorder="1" applyAlignment="1">
      <alignment horizontal="right"/>
    </xf>
    <xf numFmtId="0" fontId="49" fillId="0" borderId="1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0" borderId="5" xfId="0" applyFont="1" applyBorder="1" applyAlignment="1">
      <alignment horizontal="center"/>
    </xf>
    <xf numFmtId="2" fontId="63" fillId="0" borderId="4" xfId="0" applyNumberFormat="1" applyFont="1" applyBorder="1" applyAlignment="1">
      <alignment horizontal="center"/>
    </xf>
    <xf numFmtId="2" fontId="63" fillId="0" borderId="0" xfId="0" applyNumberFormat="1" applyFont="1" applyAlignment="1">
      <alignment horizontal="center"/>
    </xf>
    <xf numFmtId="2" fontId="63" fillId="0" borderId="21" xfId="0" applyNumberFormat="1" applyFont="1" applyBorder="1" applyAlignment="1">
      <alignment horizontal="center"/>
    </xf>
    <xf numFmtId="164" fontId="49" fillId="0" borderId="0" xfId="3" applyFont="1" applyFill="1" applyBorder="1" applyAlignment="1">
      <alignment horizontal="right"/>
    </xf>
    <xf numFmtId="0" fontId="48" fillId="0" borderId="0" xfId="0" applyFont="1"/>
    <xf numFmtId="0" fontId="49" fillId="0" borderId="5" xfId="0" applyFont="1" applyBorder="1" applyAlignment="1">
      <alignment horizontal="center" wrapText="1"/>
    </xf>
    <xf numFmtId="2" fontId="63" fillId="0" borderId="4" xfId="0" applyNumberFormat="1" applyFont="1" applyBorder="1" applyAlignment="1">
      <alignment horizontal="center"/>
    </xf>
    <xf numFmtId="2" fontId="63" fillId="0" borderId="0" xfId="0" applyNumberFormat="1" applyFont="1" applyAlignment="1">
      <alignment horizontal="center"/>
    </xf>
    <xf numFmtId="2" fontId="63" fillId="0" borderId="21" xfId="0" applyNumberFormat="1" applyFont="1" applyBorder="1" applyAlignment="1">
      <alignment horizontal="center"/>
    </xf>
    <xf numFmtId="0" fontId="49" fillId="0" borderId="14" xfId="0" applyFont="1" applyBorder="1" applyAlignment="1">
      <alignment horizontal="left"/>
    </xf>
    <xf numFmtId="0" fontId="60" fillId="0" borderId="4" xfId="0" applyFont="1" applyBorder="1"/>
    <xf numFmtId="0" fontId="62" fillId="0" borderId="0" xfId="0" applyFont="1" applyAlignment="1">
      <alignment horizontal="left"/>
    </xf>
    <xf numFmtId="0" fontId="48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23" fillId="0" borderId="0" xfId="0" applyFont="1"/>
    <xf numFmtId="43" fontId="63" fillId="0" borderId="0" xfId="1" applyFont="1" applyFill="1" applyBorder="1"/>
    <xf numFmtId="2" fontId="48" fillId="0" borderId="0" xfId="3" applyNumberFormat="1" applyFont="1" applyFill="1" applyBorder="1" applyAlignment="1">
      <alignment horizontal="center" vertical="center" wrapText="1"/>
    </xf>
    <xf numFmtId="2" fontId="49" fillId="0" borderId="0" xfId="3" applyNumberFormat="1" applyFont="1" applyFill="1" applyBorder="1" applyAlignment="1">
      <alignment horizontal="right" vertical="center" wrapText="1"/>
    </xf>
    <xf numFmtId="2" fontId="48" fillId="0" borderId="0" xfId="3" applyNumberFormat="1" applyFont="1" applyFill="1" applyBorder="1" applyAlignment="1">
      <alignment vertical="center" wrapText="1"/>
    </xf>
    <xf numFmtId="0" fontId="60" fillId="0" borderId="5" xfId="0" applyFont="1" applyBorder="1" applyAlignment="1">
      <alignment horizontal="center" wrapText="1"/>
    </xf>
    <xf numFmtId="0" fontId="48" fillId="0" borderId="4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21" xfId="0" applyFont="1" applyBorder="1" applyAlignment="1">
      <alignment horizontal="center"/>
    </xf>
    <xf numFmtId="0" fontId="49" fillId="0" borderId="14" xfId="0" applyFont="1" applyBorder="1" applyAlignment="1">
      <alignment horizontal="right"/>
    </xf>
    <xf numFmtId="0" fontId="49" fillId="0" borderId="0" xfId="0" applyFont="1" applyAlignment="1">
      <alignment horizontal="right"/>
    </xf>
    <xf numFmtId="43" fontId="49" fillId="0" borderId="14" xfId="1" applyFont="1" applyFill="1" applyBorder="1" applyAlignment="1">
      <alignment horizontal="center" vertical="center" wrapText="1"/>
    </xf>
    <xf numFmtId="43" fontId="49" fillId="0" borderId="0" xfId="1" applyFont="1" applyFill="1" applyBorder="1" applyAlignment="1">
      <alignment horizontal="center" vertical="center" wrapText="1"/>
    </xf>
    <xf numFmtId="43" fontId="49" fillId="0" borderId="5" xfId="1" applyFont="1" applyFill="1" applyBorder="1" applyAlignment="1">
      <alignment horizontal="center" vertical="center" wrapText="1"/>
    </xf>
    <xf numFmtId="0" fontId="63" fillId="0" borderId="4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21" xfId="0" applyFont="1" applyBorder="1" applyAlignment="1">
      <alignment horizontal="center"/>
    </xf>
    <xf numFmtId="0" fontId="49" fillId="0" borderId="4" xfId="0" applyFont="1" applyBorder="1"/>
    <xf numFmtId="164" fontId="65" fillId="0" borderId="0" xfId="0" applyNumberFormat="1" applyFont="1" applyAlignment="1">
      <alignment horizontal="center"/>
    </xf>
    <xf numFmtId="2" fontId="48" fillId="0" borderId="0" xfId="3" applyNumberFormat="1" applyFont="1" applyFill="1" applyBorder="1" applyAlignment="1">
      <alignment horizontal="left"/>
    </xf>
    <xf numFmtId="164" fontId="49" fillId="0" borderId="0" xfId="3" applyFont="1" applyFill="1" applyBorder="1" applyAlignment="1">
      <alignment wrapText="1"/>
    </xf>
    <xf numFmtId="164" fontId="49" fillId="0" borderId="5" xfId="3" applyFont="1" applyFill="1" applyBorder="1" applyAlignment="1">
      <alignment wrapText="1"/>
    </xf>
    <xf numFmtId="164" fontId="66" fillId="0" borderId="0" xfId="3" applyFont="1" applyFill="1" applyBorder="1" applyAlignment="1">
      <alignment horizontal="center"/>
    </xf>
    <xf numFmtId="164" fontId="66" fillId="0" borderId="21" xfId="3" applyFont="1" applyFill="1" applyBorder="1" applyAlignment="1">
      <alignment horizontal="center"/>
    </xf>
    <xf numFmtId="43" fontId="48" fillId="0" borderId="0" xfId="1" applyFont="1" applyFill="1" applyBorder="1" applyAlignment="1"/>
    <xf numFmtId="2" fontId="49" fillId="0" borderId="5" xfId="3" applyNumberFormat="1" applyFont="1" applyFill="1" applyBorder="1" applyAlignment="1">
      <alignment horizontal="center" wrapText="1"/>
    </xf>
    <xf numFmtId="0" fontId="60" fillId="0" borderId="12" xfId="0" applyFont="1" applyBorder="1" applyAlignment="1">
      <alignment horizontal="center" wrapText="1"/>
    </xf>
    <xf numFmtId="0" fontId="48" fillId="0" borderId="0" xfId="0" applyFont="1" applyAlignment="1">
      <alignment horizontal="left"/>
    </xf>
    <xf numFmtId="0" fontId="63" fillId="0" borderId="0" xfId="0" applyFont="1"/>
    <xf numFmtId="2" fontId="49" fillId="0" borderId="56" xfId="3" applyNumberFormat="1" applyFont="1" applyFill="1" applyBorder="1" applyAlignment="1">
      <alignment horizontal="center" wrapText="1"/>
    </xf>
    <xf numFmtId="0" fontId="60" fillId="0" borderId="22" xfId="0" applyFont="1" applyBorder="1"/>
    <xf numFmtId="0" fontId="49" fillId="0" borderId="23" xfId="0" applyFont="1" applyBorder="1" applyAlignment="1">
      <alignment horizontal="left"/>
    </xf>
    <xf numFmtId="0" fontId="49" fillId="0" borderId="23" xfId="0" applyFont="1" applyBorder="1" applyAlignment="1">
      <alignment horizontal="left"/>
    </xf>
    <xf numFmtId="0" fontId="49" fillId="0" borderId="23" xfId="0" applyFont="1" applyBorder="1" applyAlignment="1">
      <alignment horizontal="center"/>
    </xf>
    <xf numFmtId="0" fontId="49" fillId="0" borderId="24" xfId="0" applyFont="1" applyBorder="1" applyAlignment="1">
      <alignment horizontal="center"/>
    </xf>
    <xf numFmtId="0" fontId="49" fillId="0" borderId="23" xfId="0" applyFont="1" applyBorder="1" applyAlignment="1">
      <alignment horizontal="right"/>
    </xf>
    <xf numFmtId="0" fontId="48" fillId="0" borderId="23" xfId="0" applyFont="1" applyBorder="1"/>
    <xf numFmtId="164" fontId="48" fillId="0" borderId="54" xfId="3" applyFont="1" applyFill="1" applyBorder="1" applyAlignment="1">
      <alignment horizontal="center"/>
    </xf>
    <xf numFmtId="164" fontId="48" fillId="0" borderId="23" xfId="3" applyFont="1" applyFill="1" applyBorder="1" applyAlignment="1">
      <alignment horizontal="center"/>
    </xf>
    <xf numFmtId="43" fontId="49" fillId="0" borderId="23" xfId="1" applyFont="1" applyFill="1" applyBorder="1" applyAlignment="1">
      <alignment horizontal="center"/>
    </xf>
    <xf numFmtId="2" fontId="49" fillId="0" borderId="23" xfId="3" applyNumberFormat="1" applyFont="1" applyFill="1" applyBorder="1" applyAlignment="1">
      <alignment horizontal="center"/>
    </xf>
    <xf numFmtId="2" fontId="49" fillId="0" borderId="23" xfId="3" applyNumberFormat="1" applyFont="1" applyFill="1" applyBorder="1" applyAlignment="1">
      <alignment horizontal="right"/>
    </xf>
    <xf numFmtId="2" fontId="48" fillId="0" borderId="23" xfId="3" applyNumberFormat="1" applyFont="1" applyFill="1" applyBorder="1" applyAlignment="1">
      <alignment horizontal="center"/>
    </xf>
    <xf numFmtId="2" fontId="49" fillId="0" borderId="27" xfId="3" applyNumberFormat="1" applyFont="1" applyFill="1" applyBorder="1" applyAlignment="1">
      <alignment horizontal="center" wrapText="1"/>
    </xf>
    <xf numFmtId="0" fontId="29" fillId="0" borderId="63" xfId="0" applyFont="1" applyBorder="1" applyAlignment="1">
      <alignment horizontal="center"/>
    </xf>
    <xf numFmtId="0" fontId="29" fillId="0" borderId="64" xfId="0" applyFont="1" applyBorder="1" applyAlignment="1">
      <alignment horizontal="center"/>
    </xf>
    <xf numFmtId="0" fontId="29" fillId="0" borderId="37" xfId="0" applyFont="1" applyBorder="1" applyAlignment="1">
      <alignment horizontal="center"/>
    </xf>
    <xf numFmtId="0" fontId="49" fillId="0" borderId="9" xfId="0" applyFont="1" applyBorder="1" applyAlignment="1">
      <alignment horizontal="center" vertical="center"/>
    </xf>
    <xf numFmtId="0" fontId="67" fillId="0" borderId="29" xfId="0" applyFont="1" applyBorder="1" applyAlignment="1">
      <alignment wrapText="1"/>
    </xf>
    <xf numFmtId="0" fontId="49" fillId="0" borderId="29" xfId="0" applyFont="1" applyBorder="1" applyAlignment="1">
      <alignment horizontal="center" vertical="center" wrapText="1"/>
    </xf>
    <xf numFmtId="0" fontId="49" fillId="0" borderId="29" xfId="0" applyFont="1" applyBorder="1" applyAlignment="1">
      <alignment horizontal="center" vertical="center"/>
    </xf>
    <xf numFmtId="43" fontId="49" fillId="0" borderId="29" xfId="1" applyFont="1" applyBorder="1" applyAlignment="1">
      <alignment horizontal="center" vertical="center" wrapText="1"/>
    </xf>
    <xf numFmtId="43" fontId="49" fillId="0" borderId="29" xfId="1" applyFont="1" applyFill="1" applyBorder="1" applyAlignment="1">
      <alignment horizontal="center" vertical="center" wrapText="1"/>
    </xf>
    <xf numFmtId="2" fontId="48" fillId="0" borderId="10" xfId="3" applyNumberFormat="1" applyFont="1" applyFill="1" applyBorder="1" applyAlignment="1">
      <alignment horizontal="center" vertical="center" wrapText="1"/>
    </xf>
    <xf numFmtId="2" fontId="49" fillId="0" borderId="10" xfId="3" applyNumberFormat="1" applyFont="1" applyFill="1" applyBorder="1" applyAlignment="1">
      <alignment horizontal="center" vertical="center" wrapText="1"/>
    </xf>
    <xf numFmtId="43" fontId="48" fillId="0" borderId="10" xfId="1" applyFont="1" applyFill="1" applyBorder="1" applyAlignment="1">
      <alignment wrapText="1"/>
    </xf>
    <xf numFmtId="2" fontId="49" fillId="0" borderId="10" xfId="3" applyNumberFormat="1" applyFont="1" applyFill="1" applyBorder="1" applyAlignment="1">
      <alignment horizontal="center" vertical="center"/>
    </xf>
    <xf numFmtId="43" fontId="49" fillId="0" borderId="10" xfId="1" applyFont="1" applyFill="1" applyBorder="1" applyAlignment="1">
      <alignment horizontal="center" vertical="center"/>
    </xf>
    <xf numFmtId="43" fontId="48" fillId="0" borderId="10" xfId="1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2" fontId="48" fillId="0" borderId="10" xfId="3" applyNumberFormat="1" applyFont="1" applyFill="1" applyBorder="1" applyAlignment="1">
      <alignment horizontal="center" vertical="center"/>
    </xf>
    <xf numFmtId="43" fontId="48" fillId="0" borderId="11" xfId="1" applyFont="1" applyFill="1" applyBorder="1" applyAlignment="1">
      <alignment horizontal="right" vertical="center" wrapText="1"/>
    </xf>
    <xf numFmtId="2" fontId="48" fillId="0" borderId="42" xfId="3" applyNumberFormat="1" applyFont="1" applyFill="1" applyBorder="1" applyAlignment="1">
      <alignment horizontal="center" vertical="center" wrapText="1"/>
    </xf>
    <xf numFmtId="2" fontId="63" fillId="0" borderId="29" xfId="0" applyNumberFormat="1" applyFont="1" applyBorder="1" applyAlignment="1">
      <alignment horizontal="center"/>
    </xf>
    <xf numFmtId="2" fontId="49" fillId="0" borderId="29" xfId="3" applyNumberFormat="1" applyFont="1" applyFill="1" applyBorder="1" applyAlignment="1">
      <alignment horizontal="center" vertical="center"/>
    </xf>
    <xf numFmtId="43" fontId="49" fillId="0" borderId="29" xfId="1" quotePrefix="1" applyFont="1" applyFill="1" applyBorder="1" applyAlignment="1">
      <alignment horizontal="right"/>
    </xf>
    <xf numFmtId="43" fontId="49" fillId="0" borderId="29" xfId="1" applyFont="1" applyFill="1" applyBorder="1" applyAlignment="1">
      <alignment horizontal="center"/>
    </xf>
    <xf numFmtId="49" fontId="49" fillId="0" borderId="29" xfId="3" applyNumberFormat="1" applyFont="1" applyFill="1" applyBorder="1" applyAlignment="1">
      <alignment horizontal="center" vertical="center"/>
    </xf>
    <xf numFmtId="2" fontId="49" fillId="6" borderId="10" xfId="3" applyNumberFormat="1" applyFont="1" applyFill="1" applyBorder="1" applyAlignment="1">
      <alignment horizontal="center" vertical="center" wrapText="1"/>
    </xf>
    <xf numFmtId="43" fontId="49" fillId="0" borderId="29" xfId="1" applyFont="1" applyFill="1" applyBorder="1" applyAlignment="1">
      <alignment horizontal="center" vertical="center"/>
    </xf>
    <xf numFmtId="2" fontId="48" fillId="0" borderId="47" xfId="3" applyNumberFormat="1" applyFont="1" applyFill="1" applyBorder="1" applyAlignment="1">
      <alignment horizontal="center" vertical="center" wrapText="1"/>
    </xf>
    <xf numFmtId="0" fontId="49" fillId="0" borderId="29" xfId="0" applyFont="1" applyBorder="1" applyAlignment="1">
      <alignment horizontal="left"/>
    </xf>
    <xf numFmtId="0" fontId="49" fillId="0" borderId="29" xfId="0" applyFont="1" applyBorder="1" applyAlignment="1">
      <alignment vertical="center"/>
    </xf>
    <xf numFmtId="2" fontId="49" fillId="0" borderId="29" xfId="1" applyNumberFormat="1" applyFont="1" applyFill="1" applyBorder="1" applyAlignment="1">
      <alignment horizontal="center" vertical="center"/>
    </xf>
    <xf numFmtId="43" fontId="49" fillId="0" borderId="29" xfId="1" quotePrefix="1" applyFont="1" applyFill="1" applyBorder="1" applyAlignment="1"/>
    <xf numFmtId="43" fontId="36" fillId="0" borderId="0" xfId="1" applyFont="1" applyFill="1"/>
    <xf numFmtId="0" fontId="21" fillId="0" borderId="9" xfId="0" quotePrefix="1" applyFont="1" applyBorder="1" applyAlignment="1">
      <alignment horizontal="center"/>
    </xf>
    <xf numFmtId="43" fontId="43" fillId="0" borderId="60" xfId="1" applyFont="1" applyFill="1" applyBorder="1"/>
    <xf numFmtId="2" fontId="48" fillId="0" borderId="61" xfId="3" applyNumberFormat="1" applyFont="1" applyFill="1" applyBorder="1" applyAlignment="1">
      <alignment horizontal="left"/>
    </xf>
    <xf numFmtId="2" fontId="48" fillId="0" borderId="19" xfId="3" applyNumberFormat="1" applyFont="1" applyFill="1" applyBorder="1" applyAlignment="1">
      <alignment horizontal="left"/>
    </xf>
    <xf numFmtId="2" fontId="48" fillId="0" borderId="65" xfId="3" applyNumberFormat="1" applyFont="1" applyFill="1" applyBorder="1" applyAlignment="1">
      <alignment horizontal="left"/>
    </xf>
    <xf numFmtId="2" fontId="48" fillId="0" borderId="13" xfId="3" applyNumberFormat="1" applyFont="1" applyFill="1" applyBorder="1" applyAlignment="1">
      <alignment horizontal="center"/>
    </xf>
    <xf numFmtId="2" fontId="48" fillId="0" borderId="21" xfId="3" applyNumberFormat="1" applyFont="1" applyFill="1" applyBorder="1" applyAlignment="1">
      <alignment horizontal="center"/>
    </xf>
    <xf numFmtId="43" fontId="48" fillId="0" borderId="61" xfId="1" applyFont="1" applyFill="1" applyBorder="1" applyAlignment="1">
      <alignment horizontal="left"/>
    </xf>
    <xf numFmtId="43" fontId="48" fillId="0" borderId="19" xfId="1" applyFont="1" applyFill="1" applyBorder="1" applyAlignment="1">
      <alignment horizontal="left"/>
    </xf>
    <xf numFmtId="43" fontId="48" fillId="0" borderId="0" xfId="1" applyFont="1" applyFill="1" applyBorder="1" applyAlignment="1">
      <alignment horizontal="center"/>
    </xf>
    <xf numFmtId="43" fontId="48" fillId="0" borderId="5" xfId="1" applyFont="1" applyFill="1" applyBorder="1" applyAlignment="1">
      <alignment horizontal="center"/>
    </xf>
    <xf numFmtId="2" fontId="49" fillId="0" borderId="21" xfId="3" applyNumberFormat="1" applyFont="1" applyFill="1" applyBorder="1" applyAlignment="1">
      <alignment horizontal="left"/>
    </xf>
    <xf numFmtId="43" fontId="49" fillId="0" borderId="0" xfId="1" applyFont="1" applyFill="1" applyBorder="1" applyAlignment="1">
      <alignment horizontal="right"/>
    </xf>
    <xf numFmtId="164" fontId="48" fillId="0" borderId="0" xfId="0" applyNumberFormat="1" applyFont="1"/>
    <xf numFmtId="0" fontId="48" fillId="0" borderId="5" xfId="0" applyFont="1" applyBorder="1" applyAlignment="1">
      <alignment horizontal="center" wrapText="1"/>
    </xf>
    <xf numFmtId="0" fontId="62" fillId="0" borderId="21" xfId="0" applyFont="1" applyBorder="1" applyAlignment="1">
      <alignment horizontal="left"/>
    </xf>
    <xf numFmtId="164" fontId="49" fillId="0" borderId="14" xfId="3" applyFont="1" applyFill="1" applyBorder="1" applyAlignment="1">
      <alignment horizontal="center"/>
    </xf>
    <xf numFmtId="0" fontId="48" fillId="0" borderId="21" xfId="0" applyFont="1" applyBorder="1"/>
    <xf numFmtId="0" fontId="48" fillId="0" borderId="24" xfId="0" applyFont="1" applyBorder="1"/>
    <xf numFmtId="0" fontId="21" fillId="0" borderId="29" xfId="0" applyFont="1" applyBorder="1" applyAlignment="1">
      <alignment horizontal="center" wrapText="1"/>
    </xf>
    <xf numFmtId="43" fontId="21" fillId="0" borderId="29" xfId="1" applyFont="1" applyFill="1" applyBorder="1" applyAlignment="1">
      <alignment horizontal="center" wrapText="1"/>
    </xf>
    <xf numFmtId="43" fontId="36" fillId="0" borderId="29" xfId="1" applyFont="1" applyFill="1" applyBorder="1" applyAlignment="1">
      <alignment horizontal="center" wrapText="1"/>
    </xf>
    <xf numFmtId="2" fontId="24" fillId="0" borderId="47" xfId="3" applyNumberFormat="1" applyFont="1" applyFill="1" applyBorder="1" applyAlignment="1">
      <alignment horizontal="center" vertical="center" wrapText="1"/>
    </xf>
    <xf numFmtId="43" fontId="36" fillId="0" borderId="66" xfId="1" applyFont="1" applyFill="1" applyBorder="1" applyAlignment="1">
      <alignment horizontal="left" vertical="top"/>
    </xf>
    <xf numFmtId="2" fontId="49" fillId="5" borderId="29" xfId="3" quotePrefix="1" applyNumberFormat="1" applyFont="1" applyFill="1" applyBorder="1" applyAlignment="1">
      <alignment horizontal="right"/>
    </xf>
    <xf numFmtId="2" fontId="68" fillId="0" borderId="47" xfId="3" applyNumberFormat="1" applyFont="1" applyFill="1" applyBorder="1" applyAlignment="1">
      <alignment horizontal="center" vertical="center" wrapText="1"/>
    </xf>
    <xf numFmtId="43" fontId="2" fillId="0" borderId="60" xfId="1" applyFont="1" applyFill="1" applyBorder="1" applyAlignment="1">
      <alignment horizontal="right"/>
    </xf>
  </cellXfs>
  <cellStyles count="4">
    <cellStyle name="Comma" xfId="1" builtinId="3"/>
    <cellStyle name="Comma 2 2" xfId="3" xr:uid="{4EF44E58-0B37-4DC5-8902-A023DA0C217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ER\Desktop\PAYROLL\PART-TIME%202026\Part-time%20July%202026.xlsx" TargetMode="External"/><Relationship Id="rId1" Type="http://schemas.openxmlformats.org/officeDocument/2006/relationships/externalLinkPath" Target="PAYROLL/PART-TIME%202026/Part-time%20Jul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July 1-15,2026 "/>
      <sheetName val="PER HOUR July 1-15.2026"/>
      <sheetName val="NO REMITTANCES"/>
      <sheetName val="FINDES"/>
      <sheetName val="SSS"/>
      <sheetName val="Sheet2"/>
      <sheetName val="MAIN July 16-30,2026"/>
    </sheetNames>
    <sheetDataSet>
      <sheetData sheetId="0"/>
      <sheetData sheetId="1">
        <row r="10">
          <cell r="O10">
            <v>14610.94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A757-8B28-4691-A2A7-8E528DD8805E}">
  <dimension ref="A1:BA264"/>
  <sheetViews>
    <sheetView workbookViewId="0">
      <selection activeCell="Q9" sqref="Q9"/>
    </sheetView>
  </sheetViews>
  <sheetFormatPr defaultColWidth="9.140625" defaultRowHeight="9.75"/>
  <cols>
    <col min="1" max="1" width="2.85546875" style="141" customWidth="1"/>
    <col min="2" max="2" width="20.28515625" style="5" customWidth="1"/>
    <col min="3" max="3" width="15.140625" style="5" customWidth="1"/>
    <col min="4" max="4" width="9" style="17" customWidth="1"/>
    <col min="5" max="5" width="9.7109375" style="18" customWidth="1"/>
    <col min="6" max="6" width="10.28515625" style="17" customWidth="1"/>
    <col min="7" max="7" width="9" style="19" customWidth="1"/>
    <col min="8" max="8" width="8.7109375" style="20" customWidth="1"/>
    <col min="9" max="9" width="10.42578125" style="20" customWidth="1"/>
    <col min="10" max="10" width="9.140625" style="20"/>
    <col min="11" max="11" width="10.140625" style="17" customWidth="1"/>
    <col min="12" max="12" width="10" style="17" customWidth="1"/>
    <col min="13" max="13" width="8.85546875" style="17" customWidth="1"/>
    <col min="14" max="14" width="8.42578125" style="197" customWidth="1"/>
    <col min="15" max="15" width="8.42578125" style="17" customWidth="1"/>
    <col min="16" max="16" width="10.28515625" style="17" customWidth="1"/>
    <col min="17" max="17" width="8.42578125" style="17" customWidth="1"/>
    <col min="18" max="18" width="7.85546875" style="17" customWidth="1"/>
    <col min="19" max="19" width="8.28515625" style="17" customWidth="1"/>
    <col min="20" max="20" width="10" style="17" customWidth="1"/>
    <col min="21" max="21" width="9.85546875" style="18" customWidth="1"/>
    <col min="22" max="22" width="20.85546875" style="148" customWidth="1"/>
    <col min="23" max="23" width="9.140625" style="5"/>
    <col min="24" max="24" width="6.7109375" style="223" customWidth="1"/>
    <col min="25" max="25" width="9.5703125" style="5" bestFit="1" customWidth="1"/>
    <col min="26" max="26" width="6.7109375" style="224" customWidth="1"/>
    <col min="27" max="16384" width="9.140625" style="5"/>
  </cols>
  <sheetData>
    <row r="1" spans="1:26" ht="1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X1" s="5"/>
      <c r="Z1" s="5"/>
    </row>
    <row r="2" spans="1:26" ht="12.7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X2" s="5"/>
      <c r="Z2" s="5"/>
    </row>
    <row r="3" spans="1:26" ht="18" customHeight="1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X3" s="5"/>
      <c r="Z3" s="5"/>
    </row>
    <row r="4" spans="1:26" ht="15" customHeight="1">
      <c r="A4" s="12" t="s">
        <v>135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X4" s="5"/>
      <c r="Z4" s="5"/>
    </row>
    <row r="5" spans="1:26" ht="17.25" customHeight="1" thickBot="1">
      <c r="A5" s="16" t="s">
        <v>3</v>
      </c>
      <c r="U5" s="21" t="s">
        <v>4</v>
      </c>
      <c r="V5" s="22"/>
      <c r="X5" s="5"/>
      <c r="Z5" s="5"/>
    </row>
    <row r="6" spans="1:26" s="28" customFormat="1" ht="45" customHeight="1">
      <c r="A6" s="23" t="s">
        <v>5</v>
      </c>
      <c r="B6" s="24" t="s">
        <v>6</v>
      </c>
      <c r="C6" s="24" t="s">
        <v>7</v>
      </c>
      <c r="D6" s="25" t="s">
        <v>8</v>
      </c>
      <c r="E6" s="25" t="s">
        <v>9</v>
      </c>
      <c r="F6" s="26" t="s">
        <v>10</v>
      </c>
      <c r="G6" s="26" t="s">
        <v>11</v>
      </c>
      <c r="H6" s="26" t="s">
        <v>136</v>
      </c>
      <c r="I6" s="26" t="s">
        <v>11</v>
      </c>
      <c r="J6" s="26"/>
      <c r="K6" s="26" t="s">
        <v>13</v>
      </c>
      <c r="L6" s="25" t="s">
        <v>17</v>
      </c>
      <c r="M6" s="25" t="s">
        <v>18</v>
      </c>
      <c r="N6" s="198" t="s">
        <v>15</v>
      </c>
      <c r="O6" s="25" t="s">
        <v>137</v>
      </c>
      <c r="P6" s="25" t="s">
        <v>133</v>
      </c>
      <c r="Q6" s="25" t="s">
        <v>16</v>
      </c>
      <c r="R6" s="25" t="s">
        <v>138</v>
      </c>
      <c r="S6" s="25" t="s">
        <v>14</v>
      </c>
      <c r="T6" s="25" t="s">
        <v>19</v>
      </c>
      <c r="U6" s="25" t="s">
        <v>20</v>
      </c>
      <c r="V6" s="27" t="s">
        <v>21</v>
      </c>
      <c r="W6" s="199">
        <v>22</v>
      </c>
      <c r="X6" s="199"/>
      <c r="Y6" s="199">
        <v>23</v>
      </c>
    </row>
    <row r="7" spans="1:26" s="18" customFormat="1" ht="12" customHeight="1">
      <c r="A7" s="29" t="s">
        <v>22</v>
      </c>
      <c r="B7" s="30" t="s">
        <v>23</v>
      </c>
      <c r="C7" s="31" t="s">
        <v>24</v>
      </c>
      <c r="D7" s="32">
        <v>19773.599999999999</v>
      </c>
      <c r="E7" s="33">
        <v>10.5</v>
      </c>
      <c r="F7" s="34">
        <v>859.72</v>
      </c>
      <c r="G7" s="35"/>
      <c r="H7" s="34"/>
      <c r="I7" s="34"/>
      <c r="J7" s="34"/>
      <c r="K7" s="36">
        <v>10817.5</v>
      </c>
      <c r="L7" s="35"/>
      <c r="M7" s="38"/>
      <c r="N7" s="172"/>
      <c r="O7" s="172"/>
      <c r="P7" s="37"/>
      <c r="Q7" s="37"/>
      <c r="R7" s="38"/>
      <c r="S7" s="38"/>
      <c r="T7" s="38">
        <f t="shared" ref="T7:T18" si="0">L7+M7+N7+O7+P7+Q7+R7+S7</f>
        <v>0</v>
      </c>
      <c r="U7" s="37">
        <f t="shared" ref="U7:U18" si="1">K7-T7</f>
        <v>10817.5</v>
      </c>
      <c r="V7" s="39" t="s">
        <v>25</v>
      </c>
      <c r="W7" s="40">
        <f t="shared" ref="W7:W18" si="2">D7/22</f>
        <v>898.8</v>
      </c>
      <c r="X7" s="200">
        <f>W7/8/60</f>
        <v>1.8724999999999998</v>
      </c>
      <c r="Y7" s="40">
        <f t="shared" ref="Y7:Y18" si="3">D7/23</f>
        <v>859.72173913043468</v>
      </c>
      <c r="Z7" s="201">
        <f>Y7/8/60</f>
        <v>1.7910869565217389</v>
      </c>
    </row>
    <row r="8" spans="1:26" ht="12" customHeight="1">
      <c r="A8" s="29" t="s">
        <v>26</v>
      </c>
      <c r="B8" s="31" t="s">
        <v>27</v>
      </c>
      <c r="C8" s="31" t="s">
        <v>24</v>
      </c>
      <c r="D8" s="35">
        <v>21186</v>
      </c>
      <c r="E8" s="33">
        <v>10.5</v>
      </c>
      <c r="F8" s="41">
        <v>921.13</v>
      </c>
      <c r="G8" s="35"/>
      <c r="H8" s="41"/>
      <c r="I8" s="41"/>
      <c r="J8" s="41"/>
      <c r="K8" s="36">
        <v>11570.99</v>
      </c>
      <c r="L8" s="35">
        <v>347.13</v>
      </c>
      <c r="M8" s="38">
        <v>231.42</v>
      </c>
      <c r="N8" s="172">
        <v>760</v>
      </c>
      <c r="O8" s="172">
        <v>200</v>
      </c>
      <c r="P8" s="37">
        <v>1059.3</v>
      </c>
      <c r="Q8" s="37"/>
      <c r="R8" s="38"/>
      <c r="S8" s="38"/>
      <c r="T8" s="38">
        <f t="shared" si="0"/>
        <v>2597.85</v>
      </c>
      <c r="U8" s="37">
        <f t="shared" si="1"/>
        <v>8973.14</v>
      </c>
      <c r="V8" s="42"/>
      <c r="W8" s="40">
        <f t="shared" si="2"/>
        <v>963</v>
      </c>
      <c r="X8" s="200">
        <f t="shared" ref="X8:X18" si="4">W8/8/60</f>
        <v>2.0062500000000001</v>
      </c>
      <c r="Y8" s="40">
        <f t="shared" si="3"/>
        <v>921.13043478260875</v>
      </c>
      <c r="Z8" s="201">
        <f t="shared" ref="Z8:Z18" si="5">Y8/8/60</f>
        <v>1.9190217391304349</v>
      </c>
    </row>
    <row r="9" spans="1:26" ht="12" customHeight="1">
      <c r="A9" s="29" t="s">
        <v>28</v>
      </c>
      <c r="B9" s="31" t="s">
        <v>29</v>
      </c>
      <c r="C9" s="31" t="s">
        <v>24</v>
      </c>
      <c r="D9" s="35">
        <v>18361.2</v>
      </c>
      <c r="E9" s="33">
        <v>11</v>
      </c>
      <c r="F9" s="41">
        <v>798.31</v>
      </c>
      <c r="G9" s="35"/>
      <c r="H9" s="41"/>
      <c r="I9" s="41"/>
      <c r="J9" s="41"/>
      <c r="K9" s="36">
        <v>10385.870000000001</v>
      </c>
      <c r="L9" s="35">
        <v>311.58</v>
      </c>
      <c r="M9" s="38">
        <v>207.72</v>
      </c>
      <c r="N9" s="172"/>
      <c r="O9" s="172">
        <v>200</v>
      </c>
      <c r="P9" s="37">
        <v>918.06</v>
      </c>
      <c r="Q9" s="37"/>
      <c r="R9" s="38"/>
      <c r="S9" s="38"/>
      <c r="T9" s="38">
        <f t="shared" si="0"/>
        <v>1637.36</v>
      </c>
      <c r="U9" s="37">
        <f t="shared" si="1"/>
        <v>8748.51</v>
      </c>
      <c r="V9" s="43"/>
      <c r="W9" s="40">
        <f t="shared" si="2"/>
        <v>834.6</v>
      </c>
      <c r="X9" s="200">
        <f t="shared" si="4"/>
        <v>1.73875</v>
      </c>
      <c r="Y9" s="40">
        <f t="shared" si="3"/>
        <v>798.31304347826085</v>
      </c>
      <c r="Z9" s="201">
        <f t="shared" si="5"/>
        <v>1.6631521739130435</v>
      </c>
    </row>
    <row r="10" spans="1:26" ht="12" customHeight="1">
      <c r="A10" s="29" t="s">
        <v>30</v>
      </c>
      <c r="B10" s="31" t="s">
        <v>31</v>
      </c>
      <c r="C10" s="31" t="s">
        <v>24</v>
      </c>
      <c r="D10" s="35">
        <v>18361.2</v>
      </c>
      <c r="E10" s="33">
        <v>8</v>
      </c>
      <c r="F10" s="41">
        <v>798.31</v>
      </c>
      <c r="G10" s="35"/>
      <c r="H10" s="41"/>
      <c r="I10" s="41"/>
      <c r="J10" s="41"/>
      <c r="K10" s="36">
        <v>8055.68</v>
      </c>
      <c r="L10" s="35">
        <v>241.67</v>
      </c>
      <c r="M10" s="38">
        <v>161.11000000000001</v>
      </c>
      <c r="N10" s="172">
        <v>760</v>
      </c>
      <c r="O10" s="172">
        <v>200</v>
      </c>
      <c r="P10" s="37">
        <v>918.06</v>
      </c>
      <c r="Q10" s="37"/>
      <c r="R10" s="38"/>
      <c r="S10" s="38"/>
      <c r="T10" s="38">
        <f t="shared" si="0"/>
        <v>2280.84</v>
      </c>
      <c r="U10" s="37">
        <f t="shared" si="1"/>
        <v>5774.84</v>
      </c>
      <c r="V10" s="44"/>
      <c r="W10" s="40">
        <f t="shared" si="2"/>
        <v>834.6</v>
      </c>
      <c r="X10" s="200">
        <f t="shared" si="4"/>
        <v>1.73875</v>
      </c>
      <c r="Y10" s="40">
        <f t="shared" si="3"/>
        <v>798.31304347826085</v>
      </c>
      <c r="Z10" s="201">
        <f t="shared" si="5"/>
        <v>1.6631521739130435</v>
      </c>
    </row>
    <row r="11" spans="1:26" ht="12" customHeight="1">
      <c r="A11" s="29" t="s">
        <v>32</v>
      </c>
      <c r="B11" s="31" t="s">
        <v>33</v>
      </c>
      <c r="C11" s="31" t="s">
        <v>24</v>
      </c>
      <c r="D11" s="35">
        <v>19773.599999999999</v>
      </c>
      <c r="E11" s="33">
        <v>10.5</v>
      </c>
      <c r="F11" s="41">
        <v>859.72</v>
      </c>
      <c r="G11" s="35"/>
      <c r="H11" s="41"/>
      <c r="I11" s="41"/>
      <c r="J11" s="41"/>
      <c r="K11" s="36">
        <v>10824.66</v>
      </c>
      <c r="L11" s="35">
        <v>324.74</v>
      </c>
      <c r="M11" s="38">
        <v>216.49</v>
      </c>
      <c r="N11" s="172">
        <v>760</v>
      </c>
      <c r="O11" s="172">
        <v>200</v>
      </c>
      <c r="P11" s="37">
        <v>988.68</v>
      </c>
      <c r="Q11" s="37"/>
      <c r="R11" s="38"/>
      <c r="S11" s="38"/>
      <c r="T11" s="38">
        <f t="shared" si="0"/>
        <v>2489.91</v>
      </c>
      <c r="U11" s="37">
        <f t="shared" si="1"/>
        <v>8334.75</v>
      </c>
      <c r="V11" s="44"/>
      <c r="W11" s="40">
        <f t="shared" si="2"/>
        <v>898.8</v>
      </c>
      <c r="X11" s="200">
        <f t="shared" si="4"/>
        <v>1.8724999999999998</v>
      </c>
      <c r="Y11" s="40">
        <f t="shared" si="3"/>
        <v>859.72173913043468</v>
      </c>
      <c r="Z11" s="201">
        <f t="shared" si="5"/>
        <v>1.7910869565217389</v>
      </c>
    </row>
    <row r="12" spans="1:26" ht="12" customHeight="1">
      <c r="A12" s="29" t="s">
        <v>34</v>
      </c>
      <c r="B12" s="31" t="s">
        <v>35</v>
      </c>
      <c r="C12" s="31" t="s">
        <v>24</v>
      </c>
      <c r="D12" s="35">
        <v>19773.599999999999</v>
      </c>
      <c r="E12" s="33">
        <v>10</v>
      </c>
      <c r="F12" s="34">
        <v>859.72</v>
      </c>
      <c r="G12" s="35"/>
      <c r="H12" s="41"/>
      <c r="I12" s="41"/>
      <c r="J12" s="41"/>
      <c r="K12" s="36">
        <v>10394.799999999999</v>
      </c>
      <c r="L12" s="35">
        <v>311.83999999999997</v>
      </c>
      <c r="M12" s="38">
        <v>207.9</v>
      </c>
      <c r="N12" s="172"/>
      <c r="O12" s="172"/>
      <c r="P12" s="37"/>
      <c r="Q12" s="37"/>
      <c r="R12" s="38"/>
      <c r="S12" s="38"/>
      <c r="T12" s="38">
        <f t="shared" si="0"/>
        <v>519.74</v>
      </c>
      <c r="U12" s="37">
        <f t="shared" si="1"/>
        <v>9875.06</v>
      </c>
      <c r="V12" s="43"/>
      <c r="W12" s="40">
        <f t="shared" si="2"/>
        <v>898.8</v>
      </c>
      <c r="X12" s="200">
        <f t="shared" si="4"/>
        <v>1.8724999999999998</v>
      </c>
      <c r="Y12" s="40">
        <f t="shared" si="3"/>
        <v>859.72173913043468</v>
      </c>
      <c r="Z12" s="201">
        <f t="shared" si="5"/>
        <v>1.7910869565217389</v>
      </c>
    </row>
    <row r="13" spans="1:26" ht="12" customHeight="1">
      <c r="A13" s="29" t="s">
        <v>36</v>
      </c>
      <c r="B13" s="202" t="s">
        <v>139</v>
      </c>
      <c r="C13" s="31" t="s">
        <v>24</v>
      </c>
      <c r="D13" s="32">
        <v>19773.599999999999</v>
      </c>
      <c r="E13" s="33">
        <v>9</v>
      </c>
      <c r="F13" s="34">
        <v>859.72</v>
      </c>
      <c r="G13" s="35"/>
      <c r="H13" s="34"/>
      <c r="I13" s="34"/>
      <c r="J13" s="34"/>
      <c r="K13" s="36">
        <v>8186.88</v>
      </c>
      <c r="L13" s="35">
        <v>245.61</v>
      </c>
      <c r="M13" s="38">
        <v>163.74</v>
      </c>
      <c r="N13" s="172"/>
      <c r="O13" s="172"/>
      <c r="P13" s="37"/>
      <c r="Q13" s="37"/>
      <c r="R13" s="38"/>
      <c r="S13" s="38"/>
      <c r="T13" s="38">
        <f t="shared" si="0"/>
        <v>409.35</v>
      </c>
      <c r="U13" s="37">
        <f t="shared" si="1"/>
        <v>7777.53</v>
      </c>
      <c r="V13" s="43"/>
      <c r="W13" s="40">
        <f t="shared" si="2"/>
        <v>898.8</v>
      </c>
      <c r="X13" s="200">
        <f t="shared" si="4"/>
        <v>1.8724999999999998</v>
      </c>
      <c r="Y13" s="40">
        <f t="shared" si="3"/>
        <v>859.72173913043468</v>
      </c>
      <c r="Z13" s="201">
        <f t="shared" si="5"/>
        <v>1.7910869565217389</v>
      </c>
    </row>
    <row r="14" spans="1:26" ht="12" customHeight="1">
      <c r="A14" s="29" t="s">
        <v>38</v>
      </c>
      <c r="B14" s="31" t="s">
        <v>37</v>
      </c>
      <c r="C14" s="31" t="s">
        <v>24</v>
      </c>
      <c r="D14" s="34">
        <v>19773.599999999999</v>
      </c>
      <c r="E14" s="33">
        <v>10</v>
      </c>
      <c r="F14" s="34">
        <v>859.72</v>
      </c>
      <c r="G14" s="35"/>
      <c r="H14" s="41"/>
      <c r="I14" s="41"/>
      <c r="J14" s="41"/>
      <c r="K14" s="36">
        <v>10373.08</v>
      </c>
      <c r="L14" s="35"/>
      <c r="M14" s="38"/>
      <c r="N14" s="172"/>
      <c r="O14" s="172"/>
      <c r="P14" s="37"/>
      <c r="Q14" s="37"/>
      <c r="R14" s="38"/>
      <c r="S14" s="38"/>
      <c r="T14" s="38">
        <f t="shared" si="0"/>
        <v>0</v>
      </c>
      <c r="U14" s="37">
        <f t="shared" si="1"/>
        <v>10373.08</v>
      </c>
      <c r="V14" s="39" t="s">
        <v>25</v>
      </c>
      <c r="W14" s="40">
        <f t="shared" si="2"/>
        <v>898.8</v>
      </c>
      <c r="X14" s="200">
        <f t="shared" si="4"/>
        <v>1.8724999999999998</v>
      </c>
      <c r="Y14" s="40">
        <f t="shared" si="3"/>
        <v>859.72173913043468</v>
      </c>
      <c r="Z14" s="201">
        <f t="shared" si="5"/>
        <v>1.7910869565217389</v>
      </c>
    </row>
    <row r="15" spans="1:26" ht="12" customHeight="1">
      <c r="A15" s="29" t="s">
        <v>40</v>
      </c>
      <c r="B15" s="31" t="s">
        <v>39</v>
      </c>
      <c r="C15" s="31" t="s">
        <v>24</v>
      </c>
      <c r="D15" s="34">
        <v>21186</v>
      </c>
      <c r="E15" s="33">
        <v>11</v>
      </c>
      <c r="F15" s="41">
        <v>921.13</v>
      </c>
      <c r="G15" s="35"/>
      <c r="H15" s="41"/>
      <c r="I15" s="41"/>
      <c r="J15" s="41"/>
      <c r="K15" s="36">
        <v>12035.39</v>
      </c>
      <c r="L15" s="35">
        <v>361.06</v>
      </c>
      <c r="M15" s="38">
        <v>240.71</v>
      </c>
      <c r="N15" s="172">
        <v>760</v>
      </c>
      <c r="O15" s="172">
        <v>200</v>
      </c>
      <c r="P15" s="37">
        <v>1059.3</v>
      </c>
      <c r="Q15" s="37"/>
      <c r="R15" s="38"/>
      <c r="S15" s="38"/>
      <c r="T15" s="38">
        <f t="shared" si="0"/>
        <v>2621.0699999999997</v>
      </c>
      <c r="U15" s="37">
        <f t="shared" si="1"/>
        <v>9414.32</v>
      </c>
      <c r="V15" s="43"/>
      <c r="W15" s="40">
        <f t="shared" si="2"/>
        <v>963</v>
      </c>
      <c r="X15" s="200">
        <f t="shared" si="4"/>
        <v>2.0062500000000001</v>
      </c>
      <c r="Y15" s="40">
        <f t="shared" si="3"/>
        <v>921.13043478260875</v>
      </c>
      <c r="Z15" s="201">
        <f t="shared" si="5"/>
        <v>1.9190217391304349</v>
      </c>
    </row>
    <row r="16" spans="1:26" ht="12" customHeight="1">
      <c r="A16" s="29" t="s">
        <v>42</v>
      </c>
      <c r="B16" s="31" t="s">
        <v>41</v>
      </c>
      <c r="C16" s="31" t="s">
        <v>24</v>
      </c>
      <c r="D16" s="34">
        <v>21186</v>
      </c>
      <c r="E16" s="33">
        <v>10</v>
      </c>
      <c r="F16" s="41">
        <v>921.13</v>
      </c>
      <c r="G16" s="35"/>
      <c r="H16" s="41"/>
      <c r="I16" s="41"/>
      <c r="J16" s="41"/>
      <c r="K16" s="36">
        <v>11137.3</v>
      </c>
      <c r="L16" s="35">
        <v>334.12</v>
      </c>
      <c r="M16" s="38">
        <v>222.75</v>
      </c>
      <c r="N16" s="172">
        <v>760</v>
      </c>
      <c r="O16" s="172">
        <v>200</v>
      </c>
      <c r="P16" s="37">
        <v>1059.3</v>
      </c>
      <c r="Q16" s="37"/>
      <c r="R16" s="38"/>
      <c r="S16" s="38"/>
      <c r="T16" s="38">
        <f t="shared" si="0"/>
        <v>2576.17</v>
      </c>
      <c r="U16" s="37">
        <f t="shared" si="1"/>
        <v>8561.1299999999992</v>
      </c>
      <c r="V16" s="43"/>
      <c r="W16" s="40">
        <f t="shared" si="2"/>
        <v>963</v>
      </c>
      <c r="X16" s="200">
        <f t="shared" si="4"/>
        <v>2.0062500000000001</v>
      </c>
      <c r="Y16" s="40">
        <f t="shared" si="3"/>
        <v>921.13043478260875</v>
      </c>
      <c r="Z16" s="201">
        <f t="shared" si="5"/>
        <v>1.9190217391304349</v>
      </c>
    </row>
    <row r="17" spans="1:53" ht="12" customHeight="1">
      <c r="A17" s="29" t="s">
        <v>43</v>
      </c>
      <c r="B17" s="31" t="s">
        <v>44</v>
      </c>
      <c r="C17" s="31" t="s">
        <v>24</v>
      </c>
      <c r="D17" s="34">
        <v>19773.599999999999</v>
      </c>
      <c r="E17" s="33">
        <v>11</v>
      </c>
      <c r="F17" s="34">
        <v>859.72</v>
      </c>
      <c r="G17" s="35"/>
      <c r="H17" s="41"/>
      <c r="I17" s="41"/>
      <c r="J17" s="41"/>
      <c r="K17" s="36">
        <v>11254.52</v>
      </c>
      <c r="L17" s="35">
        <v>337.64</v>
      </c>
      <c r="M17" s="38">
        <v>225.09</v>
      </c>
      <c r="N17" s="172">
        <v>750</v>
      </c>
      <c r="O17" s="172">
        <v>200</v>
      </c>
      <c r="P17" s="37">
        <v>988.68</v>
      </c>
      <c r="Q17" s="37"/>
      <c r="R17" s="38"/>
      <c r="S17" s="38"/>
      <c r="T17" s="38">
        <f t="shared" si="0"/>
        <v>2501.41</v>
      </c>
      <c r="U17" s="37">
        <f t="shared" si="1"/>
        <v>8753.11</v>
      </c>
      <c r="V17" s="43"/>
      <c r="W17" s="40">
        <f t="shared" si="2"/>
        <v>898.8</v>
      </c>
      <c r="X17" s="200">
        <f t="shared" si="4"/>
        <v>1.8724999999999998</v>
      </c>
      <c r="Y17" s="40">
        <f t="shared" si="3"/>
        <v>859.72173913043468</v>
      </c>
      <c r="Z17" s="201">
        <f t="shared" si="5"/>
        <v>1.7910869565217389</v>
      </c>
    </row>
    <row r="18" spans="1:53" ht="12" customHeight="1">
      <c r="A18" s="29" t="s">
        <v>45</v>
      </c>
      <c r="B18" s="45" t="s">
        <v>46</v>
      </c>
      <c r="C18" s="31" t="s">
        <v>24</v>
      </c>
      <c r="D18" s="35">
        <v>21186</v>
      </c>
      <c r="E18" s="33">
        <v>11</v>
      </c>
      <c r="F18" s="35">
        <v>921.13</v>
      </c>
      <c r="G18" s="46"/>
      <c r="H18" s="47"/>
      <c r="I18" s="47"/>
      <c r="J18" s="47"/>
      <c r="K18" s="36">
        <v>10132.43</v>
      </c>
      <c r="L18" s="35"/>
      <c r="M18" s="38"/>
      <c r="N18" s="203"/>
      <c r="O18" s="203"/>
      <c r="P18" s="48"/>
      <c r="Q18" s="48"/>
      <c r="R18" s="38"/>
      <c r="S18" s="38"/>
      <c r="T18" s="38">
        <f t="shared" si="0"/>
        <v>0</v>
      </c>
      <c r="U18" s="37">
        <f t="shared" si="1"/>
        <v>10132.43</v>
      </c>
      <c r="V18" s="39" t="s">
        <v>25</v>
      </c>
      <c r="W18" s="40">
        <f t="shared" si="2"/>
        <v>963</v>
      </c>
      <c r="X18" s="200">
        <f t="shared" si="4"/>
        <v>2.0062500000000001</v>
      </c>
      <c r="Y18" s="40">
        <f t="shared" si="3"/>
        <v>921.13043478260875</v>
      </c>
      <c r="Z18" s="201">
        <f t="shared" si="5"/>
        <v>1.9190217391304349</v>
      </c>
    </row>
    <row r="19" spans="1:53" s="56" customFormat="1" ht="14.25" customHeight="1" thickBot="1">
      <c r="A19" s="49"/>
      <c r="B19" s="50"/>
      <c r="C19" s="51"/>
      <c r="D19" s="51"/>
      <c r="E19" s="51"/>
      <c r="F19" s="52"/>
      <c r="G19" s="53"/>
      <c r="H19" s="53"/>
      <c r="I19" s="53"/>
      <c r="J19" s="53"/>
      <c r="K19" s="54">
        <f>SUM(K7:K18)</f>
        <v>125169.1</v>
      </c>
      <c r="L19" s="54">
        <f>SUM(L7:L18)</f>
        <v>2815.3899999999994</v>
      </c>
      <c r="M19" s="54">
        <f t="shared" ref="M19:T19" si="6">SUM(M7:M18)</f>
        <v>1876.93</v>
      </c>
      <c r="N19" s="54">
        <f t="shared" si="6"/>
        <v>4550</v>
      </c>
      <c r="O19" s="54">
        <f t="shared" si="6"/>
        <v>1400</v>
      </c>
      <c r="P19" s="54">
        <f t="shared" si="6"/>
        <v>6991.38</v>
      </c>
      <c r="Q19" s="54">
        <f t="shared" si="6"/>
        <v>0</v>
      </c>
      <c r="R19" s="54">
        <f t="shared" si="6"/>
        <v>0</v>
      </c>
      <c r="S19" s="54">
        <f t="shared" si="6"/>
        <v>0</v>
      </c>
      <c r="T19" s="54">
        <f t="shared" si="6"/>
        <v>17633.699999999997</v>
      </c>
      <c r="U19" s="54">
        <f>SUM(U7:U18)</f>
        <v>107535.40000000002</v>
      </c>
      <c r="V19" s="55">
        <f>SUM(V8:V17)</f>
        <v>0</v>
      </c>
    </row>
    <row r="20" spans="1:53" s="67" customFormat="1" ht="13.5" customHeight="1" thickTop="1">
      <c r="A20" s="57" t="s">
        <v>47</v>
      </c>
      <c r="B20" s="58"/>
      <c r="C20" s="58"/>
      <c r="D20" s="58"/>
      <c r="E20" s="59"/>
      <c r="F20" s="60" t="s">
        <v>48</v>
      </c>
      <c r="G20" s="59"/>
      <c r="H20" s="59"/>
      <c r="I20" s="59"/>
      <c r="J20" s="59"/>
      <c r="K20" s="61" t="s">
        <v>49</v>
      </c>
      <c r="L20" s="61" t="s">
        <v>50</v>
      </c>
      <c r="M20" s="62" t="s">
        <v>51</v>
      </c>
      <c r="N20" s="204" t="s">
        <v>51</v>
      </c>
      <c r="O20" s="63"/>
      <c r="P20" s="63"/>
      <c r="Q20" s="63"/>
      <c r="R20" s="62"/>
      <c r="S20" s="62"/>
      <c r="T20" s="64"/>
      <c r="U20" s="65">
        <f>U19</f>
        <v>107535.40000000002</v>
      </c>
      <c r="V20" s="66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</row>
    <row r="21" spans="1:53" ht="13.5" customHeight="1">
      <c r="A21" s="57"/>
      <c r="B21" s="58"/>
      <c r="C21" s="58"/>
      <c r="D21" s="58"/>
      <c r="E21" s="59"/>
      <c r="F21" s="68" t="s">
        <v>52</v>
      </c>
      <c r="G21" s="58" t="s">
        <v>53</v>
      </c>
      <c r="H21" s="58"/>
      <c r="I21" s="58"/>
      <c r="J21" s="58"/>
      <c r="K21" s="69">
        <f>K19</f>
        <v>125169.1</v>
      </c>
      <c r="L21" s="70">
        <v>0</v>
      </c>
      <c r="M21" s="71"/>
      <c r="N21" s="106"/>
      <c r="O21" s="71"/>
      <c r="P21" s="71"/>
      <c r="Q21" s="71"/>
      <c r="R21" s="62"/>
      <c r="S21" s="62"/>
      <c r="T21" s="59"/>
      <c r="U21" s="59"/>
      <c r="V21" s="72"/>
      <c r="X21" s="5"/>
      <c r="Z21" s="5"/>
    </row>
    <row r="22" spans="1:53" ht="13.5" customHeight="1">
      <c r="A22" s="73"/>
      <c r="B22" s="74"/>
      <c r="C22" s="64"/>
      <c r="D22" s="64"/>
      <c r="E22" s="59"/>
      <c r="F22" s="68" t="s">
        <v>54</v>
      </c>
      <c r="G22" s="59" t="s">
        <v>55</v>
      </c>
      <c r="H22" s="59"/>
      <c r="I22" s="59"/>
      <c r="J22" s="59"/>
      <c r="K22" s="69"/>
      <c r="L22" s="75">
        <f>L19+M19</f>
        <v>4692.32</v>
      </c>
      <c r="M22" s="76"/>
      <c r="N22" s="205"/>
      <c r="O22" s="76"/>
      <c r="P22" s="76"/>
      <c r="Q22" s="76"/>
      <c r="R22" s="62"/>
      <c r="S22" s="62"/>
      <c r="T22" s="77"/>
      <c r="U22" s="59"/>
      <c r="V22" s="72"/>
      <c r="X22" s="5"/>
      <c r="Z22" s="5"/>
    </row>
    <row r="23" spans="1:53" ht="13.5" customHeight="1">
      <c r="A23" s="78" t="s">
        <v>56</v>
      </c>
      <c r="B23" s="79"/>
      <c r="C23" s="79"/>
      <c r="D23" s="79"/>
      <c r="E23" s="80"/>
      <c r="F23" s="68" t="s">
        <v>57</v>
      </c>
      <c r="G23" s="59" t="s">
        <v>58</v>
      </c>
      <c r="H23" s="59"/>
      <c r="I23" s="59"/>
      <c r="J23" s="59"/>
      <c r="K23" s="81"/>
      <c r="L23" s="75">
        <f>R19</f>
        <v>0</v>
      </c>
      <c r="M23" s="76"/>
      <c r="N23" s="82" t="s">
        <v>59</v>
      </c>
      <c r="O23" s="82"/>
      <c r="P23" s="82"/>
      <c r="Q23" s="82"/>
      <c r="R23" s="82"/>
      <c r="S23" s="82"/>
      <c r="T23" s="82"/>
      <c r="U23" s="82"/>
      <c r="V23" s="83"/>
      <c r="X23" s="5"/>
      <c r="Z23" s="5"/>
    </row>
    <row r="24" spans="1:53" ht="13.5" customHeight="1">
      <c r="A24" s="84" t="s">
        <v>60</v>
      </c>
      <c r="B24" s="85"/>
      <c r="C24" s="85"/>
      <c r="D24" s="85"/>
      <c r="E24" s="86"/>
      <c r="F24" s="68" t="s">
        <v>57</v>
      </c>
      <c r="G24" s="59" t="s">
        <v>61</v>
      </c>
      <c r="H24" s="59"/>
      <c r="I24" s="59"/>
      <c r="J24" s="59"/>
      <c r="K24" s="87"/>
      <c r="L24" s="75">
        <f>S19</f>
        <v>0</v>
      </c>
      <c r="M24" s="76"/>
      <c r="N24" s="85" t="s">
        <v>62</v>
      </c>
      <c r="O24" s="85"/>
      <c r="P24" s="85"/>
      <c r="Q24" s="85"/>
      <c r="R24" s="85"/>
      <c r="S24" s="85"/>
      <c r="T24" s="85"/>
      <c r="U24" s="85"/>
      <c r="V24" s="88"/>
      <c r="X24" s="5"/>
      <c r="Z24" s="5"/>
    </row>
    <row r="25" spans="1:53" ht="13.5" customHeight="1">
      <c r="A25" s="73"/>
      <c r="B25" s="64"/>
      <c r="C25" s="64"/>
      <c r="D25" s="64"/>
      <c r="E25" s="59"/>
      <c r="F25" s="68" t="s">
        <v>57</v>
      </c>
      <c r="G25" s="59" t="s">
        <v>63</v>
      </c>
      <c r="H25" s="59"/>
      <c r="I25" s="59"/>
      <c r="J25" s="59"/>
      <c r="K25" s="87"/>
      <c r="L25" s="75">
        <f>N19</f>
        <v>4550</v>
      </c>
      <c r="M25" s="76"/>
      <c r="N25" s="205"/>
      <c r="O25" s="76"/>
      <c r="P25" s="76"/>
      <c r="Q25" s="76"/>
      <c r="R25" s="64"/>
      <c r="S25" s="64"/>
      <c r="T25" s="59"/>
      <c r="U25" s="59"/>
      <c r="V25" s="72"/>
      <c r="X25" s="5"/>
      <c r="Z25" s="5"/>
    </row>
    <row r="26" spans="1:53" ht="13.5" customHeight="1">
      <c r="A26" s="73"/>
      <c r="B26" s="64"/>
      <c r="C26" s="64"/>
      <c r="D26" s="64"/>
      <c r="E26" s="59"/>
      <c r="F26" s="68" t="s">
        <v>140</v>
      </c>
      <c r="G26" s="206" t="s">
        <v>141</v>
      </c>
      <c r="H26" s="59"/>
      <c r="I26" s="59"/>
      <c r="J26" s="59"/>
      <c r="K26" s="87"/>
      <c r="L26" s="75">
        <f>O19</f>
        <v>1400</v>
      </c>
      <c r="M26" s="76"/>
      <c r="N26" s="205"/>
      <c r="O26" s="76"/>
      <c r="P26" s="76"/>
      <c r="Q26" s="76"/>
      <c r="R26" s="64"/>
      <c r="S26" s="64"/>
      <c r="T26" s="59"/>
      <c r="U26" s="59"/>
      <c r="V26" s="72"/>
      <c r="X26" s="5"/>
      <c r="Z26" s="5"/>
    </row>
    <row r="27" spans="1:53" ht="13.5" customHeight="1">
      <c r="A27" s="89"/>
      <c r="B27" s="74"/>
      <c r="C27" s="58"/>
      <c r="D27" s="58"/>
      <c r="E27" s="59"/>
      <c r="F27" s="68" t="s">
        <v>142</v>
      </c>
      <c r="G27" s="206" t="s">
        <v>143</v>
      </c>
      <c r="H27" s="59"/>
      <c r="I27" s="59"/>
      <c r="J27" s="59"/>
      <c r="K27" s="81"/>
      <c r="L27" s="75">
        <f>P19</f>
        <v>6991.38</v>
      </c>
      <c r="M27" s="76"/>
      <c r="N27" s="205"/>
      <c r="O27" s="76"/>
      <c r="P27" s="76"/>
      <c r="Q27" s="76"/>
      <c r="R27" s="64"/>
      <c r="S27" s="64"/>
      <c r="T27" s="64"/>
      <c r="U27" s="64"/>
      <c r="V27" s="66"/>
      <c r="X27" s="5"/>
      <c r="Z27" s="5"/>
    </row>
    <row r="28" spans="1:53" ht="13.5" customHeight="1">
      <c r="A28" s="73" t="s">
        <v>65</v>
      </c>
      <c r="B28" s="64"/>
      <c r="C28" s="58"/>
      <c r="D28" s="58"/>
      <c r="E28" s="59"/>
      <c r="F28" s="68" t="s">
        <v>66</v>
      </c>
      <c r="G28" s="59" t="s">
        <v>67</v>
      </c>
      <c r="H28" s="59"/>
      <c r="I28" s="59"/>
      <c r="J28" s="59"/>
      <c r="K28" s="81"/>
      <c r="L28" s="75">
        <f>U20</f>
        <v>107535.40000000002</v>
      </c>
      <c r="M28" s="76"/>
      <c r="N28" s="205"/>
      <c r="O28" s="76"/>
      <c r="P28" s="76"/>
      <c r="Q28" s="76"/>
      <c r="R28" s="64"/>
      <c r="S28" s="64"/>
      <c r="T28" s="64"/>
      <c r="U28" s="64"/>
      <c r="V28" s="66"/>
      <c r="X28" s="5"/>
      <c r="Y28" s="5" t="s">
        <v>68</v>
      </c>
      <c r="Z28" s="5"/>
    </row>
    <row r="29" spans="1:53" ht="13.5" customHeight="1">
      <c r="A29" s="73"/>
      <c r="B29" s="64"/>
      <c r="C29" s="58"/>
      <c r="D29" s="58"/>
      <c r="E29" s="59"/>
      <c r="F29" s="68"/>
      <c r="G29" s="59"/>
      <c r="H29" s="59"/>
      <c r="I29" s="59"/>
      <c r="J29" s="59"/>
      <c r="K29" s="81"/>
      <c r="L29" s="75"/>
      <c r="M29" s="76"/>
      <c r="N29" s="205"/>
      <c r="O29" s="76"/>
      <c r="P29" s="76"/>
      <c r="Q29" s="76"/>
      <c r="R29" s="64"/>
      <c r="S29" s="64"/>
      <c r="T29" s="64"/>
      <c r="U29" s="64"/>
      <c r="V29" s="66"/>
      <c r="X29" s="5"/>
      <c r="Z29" s="5"/>
    </row>
    <row r="30" spans="1:53" ht="13.5" customHeight="1">
      <c r="A30" s="73"/>
      <c r="B30" s="58"/>
      <c r="C30" s="58"/>
      <c r="D30" s="58"/>
      <c r="E30" s="59"/>
      <c r="F30" s="90"/>
      <c r="G30" s="59"/>
      <c r="H30" s="59"/>
      <c r="I30" s="59"/>
      <c r="J30" s="59"/>
      <c r="K30" s="81"/>
      <c r="L30" s="75"/>
      <c r="M30" s="76"/>
      <c r="N30" s="205"/>
      <c r="O30" s="76"/>
      <c r="P30" s="76"/>
      <c r="Q30" s="76"/>
      <c r="R30" s="64"/>
      <c r="S30" s="64"/>
      <c r="T30" s="64"/>
      <c r="U30" s="64"/>
      <c r="V30" s="66"/>
      <c r="X30" s="5"/>
      <c r="Z30" s="5"/>
    </row>
    <row r="31" spans="1:53" ht="13.5" customHeight="1">
      <c r="A31" s="91" t="s">
        <v>69</v>
      </c>
      <c r="B31" s="82"/>
      <c r="C31" s="82"/>
      <c r="D31" s="82"/>
      <c r="E31" s="92"/>
      <c r="F31" s="90"/>
      <c r="G31" s="59"/>
      <c r="H31" s="59"/>
      <c r="I31" s="59"/>
      <c r="J31" s="59"/>
      <c r="K31" s="81"/>
      <c r="L31" s="75"/>
      <c r="M31" s="93" t="s">
        <v>70</v>
      </c>
      <c r="N31" s="93"/>
      <c r="O31" s="93"/>
      <c r="P31" s="93"/>
      <c r="Q31" s="93"/>
      <c r="R31" s="93"/>
      <c r="S31" s="93"/>
      <c r="T31" s="93"/>
      <c r="U31" s="93"/>
      <c r="V31" s="94"/>
      <c r="X31" s="5"/>
      <c r="Z31" s="5"/>
    </row>
    <row r="32" spans="1:53" ht="13.5" customHeight="1">
      <c r="A32" s="84" t="s">
        <v>71</v>
      </c>
      <c r="B32" s="85"/>
      <c r="C32" s="85"/>
      <c r="D32" s="85"/>
      <c r="E32" s="86"/>
      <c r="F32" s="90"/>
      <c r="G32" s="59"/>
      <c r="H32" s="59"/>
      <c r="I32" s="59"/>
      <c r="J32" s="59"/>
      <c r="K32" s="87"/>
      <c r="L32" s="75"/>
      <c r="M32" s="93"/>
      <c r="N32" s="93"/>
      <c r="O32" s="93"/>
      <c r="P32" s="93"/>
      <c r="Q32" s="93"/>
      <c r="R32" s="93"/>
      <c r="S32" s="93"/>
      <c r="T32" s="93"/>
      <c r="U32" s="93"/>
      <c r="V32" s="94"/>
      <c r="X32" s="5"/>
      <c r="Z32" s="5"/>
    </row>
    <row r="33" spans="1:32" ht="13.5" customHeight="1">
      <c r="A33" s="95"/>
      <c r="B33" s="96"/>
      <c r="C33" s="96"/>
      <c r="D33" s="64"/>
      <c r="E33" s="59"/>
      <c r="F33" s="90"/>
      <c r="G33" s="59"/>
      <c r="H33" s="59"/>
      <c r="I33" s="59"/>
      <c r="J33" s="59"/>
      <c r="K33" s="87"/>
      <c r="L33" s="75"/>
      <c r="M33" s="76"/>
      <c r="N33" s="205"/>
      <c r="O33" s="76"/>
      <c r="P33" s="76"/>
      <c r="Q33" s="76"/>
      <c r="R33" s="97"/>
      <c r="S33" s="97"/>
      <c r="T33" s="97"/>
      <c r="U33" s="97"/>
      <c r="V33" s="98"/>
      <c r="X33" s="5"/>
      <c r="Z33" s="5"/>
    </row>
    <row r="34" spans="1:32" ht="13.5" customHeight="1">
      <c r="A34" s="73" t="s">
        <v>72</v>
      </c>
      <c r="B34" s="58"/>
      <c r="C34" s="58"/>
      <c r="D34" s="99">
        <f>K19</f>
        <v>125169.1</v>
      </c>
      <c r="E34" s="100"/>
      <c r="F34" s="90"/>
      <c r="G34" s="64"/>
      <c r="H34" s="64"/>
      <c r="I34" s="64"/>
      <c r="J34" s="64"/>
      <c r="K34" s="87"/>
      <c r="L34" s="87"/>
      <c r="M34" s="59"/>
      <c r="N34" s="207"/>
      <c r="O34" s="59"/>
      <c r="P34" s="59"/>
      <c r="Q34" s="59"/>
      <c r="R34" s="101"/>
      <c r="S34" s="101"/>
      <c r="T34" s="101"/>
      <c r="U34" s="101"/>
      <c r="V34" s="98"/>
      <c r="X34" s="5"/>
      <c r="Z34" s="5"/>
    </row>
    <row r="35" spans="1:32" ht="13.5" customHeight="1">
      <c r="A35" s="73"/>
      <c r="B35" s="58"/>
      <c r="C35" s="58"/>
      <c r="D35" s="99"/>
      <c r="E35" s="100"/>
      <c r="F35" s="90"/>
      <c r="G35" s="64"/>
      <c r="H35" s="64"/>
      <c r="I35" s="64"/>
      <c r="J35" s="64"/>
      <c r="K35" s="87"/>
      <c r="L35" s="87"/>
      <c r="M35" s="59"/>
      <c r="N35" s="207"/>
      <c r="O35" s="59"/>
      <c r="P35" s="59"/>
      <c r="Q35" s="59"/>
      <c r="R35" s="102" t="s">
        <v>73</v>
      </c>
      <c r="S35" s="102"/>
      <c r="T35" s="102"/>
      <c r="U35" s="102"/>
      <c r="V35" s="103" t="s">
        <v>74</v>
      </c>
      <c r="X35" s="5"/>
      <c r="Z35" s="5"/>
    </row>
    <row r="36" spans="1:32" ht="13.5" customHeight="1">
      <c r="A36" s="91" t="s">
        <v>75</v>
      </c>
      <c r="B36" s="82"/>
      <c r="C36" s="82"/>
      <c r="D36" s="82"/>
      <c r="E36" s="92"/>
      <c r="F36" s="90"/>
      <c r="G36" s="64"/>
      <c r="H36" s="64"/>
      <c r="I36" s="64"/>
      <c r="J36" s="64"/>
      <c r="K36" s="87"/>
      <c r="L36" s="87"/>
      <c r="M36" s="59"/>
      <c r="N36" s="207"/>
      <c r="O36" s="59"/>
      <c r="P36" s="59"/>
      <c r="Q36" s="59"/>
      <c r="R36" s="85" t="s">
        <v>76</v>
      </c>
      <c r="S36" s="85"/>
      <c r="T36" s="85"/>
      <c r="U36" s="85"/>
      <c r="V36" s="105" t="s">
        <v>77</v>
      </c>
      <c r="X36" s="5"/>
      <c r="Z36" s="5"/>
    </row>
    <row r="37" spans="1:32" ht="13.5" customHeight="1">
      <c r="A37" s="84" t="s">
        <v>78</v>
      </c>
      <c r="B37" s="85"/>
      <c r="C37" s="85"/>
      <c r="D37" s="85"/>
      <c r="E37" s="85"/>
      <c r="F37" s="90"/>
      <c r="G37" s="15"/>
      <c r="H37" s="15"/>
      <c r="I37" s="15"/>
      <c r="J37" s="15"/>
      <c r="K37" s="107"/>
      <c r="L37" s="87"/>
      <c r="M37" s="62"/>
      <c r="N37" s="208"/>
      <c r="O37" s="62"/>
      <c r="P37" s="62"/>
      <c r="Q37" s="62"/>
      <c r="R37" s="108"/>
      <c r="S37" s="108"/>
      <c r="T37" s="108"/>
      <c r="U37" s="108"/>
      <c r="V37" s="109"/>
      <c r="X37" s="5"/>
      <c r="Z37" s="5"/>
    </row>
    <row r="38" spans="1:32" ht="13.5" customHeight="1" thickBot="1">
      <c r="A38" s="110"/>
      <c r="B38" s="111"/>
      <c r="C38" s="111"/>
      <c r="D38" s="112"/>
      <c r="E38" s="113"/>
      <c r="F38" s="114"/>
      <c r="G38" s="115"/>
      <c r="H38" s="115"/>
      <c r="I38" s="115"/>
      <c r="J38" s="115"/>
      <c r="K38" s="116">
        <f>SUM(K21:K37)</f>
        <v>125169.1</v>
      </c>
      <c r="L38" s="117">
        <f>SUM(L21:L37)</f>
        <v>125169.10000000002</v>
      </c>
      <c r="M38" s="118"/>
      <c r="N38" s="209"/>
      <c r="O38" s="118"/>
      <c r="P38" s="118"/>
      <c r="Q38" s="118"/>
      <c r="R38" s="119"/>
      <c r="S38" s="119"/>
      <c r="T38" s="119"/>
      <c r="U38" s="119"/>
      <c r="V38" s="120"/>
      <c r="X38" s="5"/>
      <c r="Z38" s="5"/>
    </row>
    <row r="39" spans="1:32" ht="13.5" customHeight="1" thickBot="1">
      <c r="A39" s="68"/>
      <c r="B39" s="64"/>
      <c r="C39" s="64"/>
      <c r="D39" s="64"/>
      <c r="E39" s="59"/>
      <c r="F39" s="59"/>
      <c r="G39" s="121"/>
      <c r="H39" s="121"/>
      <c r="I39" s="121"/>
      <c r="J39" s="121"/>
      <c r="K39" s="122"/>
      <c r="L39" s="123"/>
      <c r="M39" s="123"/>
      <c r="N39" s="104"/>
      <c r="O39" s="123"/>
      <c r="P39" s="123"/>
      <c r="Q39" s="123"/>
      <c r="R39" s="106"/>
      <c r="S39" s="106"/>
      <c r="T39" s="106"/>
      <c r="U39" s="106"/>
      <c r="V39" s="124"/>
      <c r="X39" s="5"/>
      <c r="Z39" s="5"/>
    </row>
    <row r="40" spans="1:32" ht="13.5" customHeight="1">
      <c r="A40" s="1" t="s">
        <v>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3"/>
      <c r="X40" s="5"/>
      <c r="Z40" s="5"/>
    </row>
    <row r="41" spans="1:32" ht="13.5" customHeight="1">
      <c r="A41" s="6" t="s">
        <v>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X41" s="5"/>
      <c r="Z41" s="5"/>
    </row>
    <row r="42" spans="1:32" ht="12.75" customHeight="1">
      <c r="A42" s="9" t="s">
        <v>79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  <c r="X42" s="5"/>
      <c r="Z42" s="5"/>
    </row>
    <row r="43" spans="1:32" ht="9" customHeight="1">
      <c r="A43" s="12" t="str">
        <f>A4</f>
        <v>July 1-15,2026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4"/>
      <c r="X43" s="5"/>
      <c r="Z43" s="5"/>
    </row>
    <row r="44" spans="1:32" ht="12.75" customHeight="1" thickBot="1">
      <c r="A44" s="16" t="s">
        <v>3</v>
      </c>
      <c r="U44" s="21" t="s">
        <v>4</v>
      </c>
      <c r="V44" s="22"/>
      <c r="X44" s="5"/>
      <c r="Z44" s="5"/>
    </row>
    <row r="45" spans="1:32" s="28" customFormat="1" ht="45" customHeight="1">
      <c r="A45" s="23" t="s">
        <v>5</v>
      </c>
      <c r="B45" s="24" t="s">
        <v>6</v>
      </c>
      <c r="C45" s="24" t="s">
        <v>7</v>
      </c>
      <c r="D45" s="25" t="s">
        <v>8</v>
      </c>
      <c r="E45" s="25" t="s">
        <v>9</v>
      </c>
      <c r="F45" s="26" t="s">
        <v>10</v>
      </c>
      <c r="G45" s="26" t="s">
        <v>11</v>
      </c>
      <c r="H45" s="26" t="s">
        <v>136</v>
      </c>
      <c r="I45" s="26" t="s">
        <v>11</v>
      </c>
      <c r="J45" s="26"/>
      <c r="K45" s="26" t="s">
        <v>13</v>
      </c>
      <c r="L45" s="25" t="s">
        <v>17</v>
      </c>
      <c r="M45" s="25" t="s">
        <v>18</v>
      </c>
      <c r="N45" s="198" t="s">
        <v>15</v>
      </c>
      <c r="O45" s="25" t="s">
        <v>137</v>
      </c>
      <c r="P45" s="25" t="s">
        <v>133</v>
      </c>
      <c r="Q45" s="25" t="s">
        <v>16</v>
      </c>
      <c r="R45" s="25" t="s">
        <v>138</v>
      </c>
      <c r="S45" s="25" t="s">
        <v>14</v>
      </c>
      <c r="T45" s="25" t="s">
        <v>19</v>
      </c>
      <c r="U45" s="25" t="s">
        <v>20</v>
      </c>
      <c r="V45" s="27" t="s">
        <v>21</v>
      </c>
      <c r="W45" s="199">
        <v>22</v>
      </c>
      <c r="X45" s="199"/>
      <c r="Y45" s="199">
        <v>23</v>
      </c>
    </row>
    <row r="46" spans="1:32" ht="11.25" customHeight="1">
      <c r="A46" s="125" t="s">
        <v>22</v>
      </c>
      <c r="B46" s="31" t="s">
        <v>81</v>
      </c>
      <c r="C46" s="31" t="s">
        <v>24</v>
      </c>
      <c r="D46" s="35">
        <v>19773.599999999999</v>
      </c>
      <c r="E46" s="33">
        <v>10.5</v>
      </c>
      <c r="F46" s="34">
        <v>859.72</v>
      </c>
      <c r="G46" s="35"/>
      <c r="H46" s="35"/>
      <c r="I46" s="35"/>
      <c r="J46" s="35"/>
      <c r="K46" s="36">
        <v>10824.66</v>
      </c>
      <c r="L46" s="35"/>
      <c r="M46" s="38"/>
      <c r="N46" s="172">
        <v>760</v>
      </c>
      <c r="O46" s="172">
        <v>200</v>
      </c>
      <c r="P46" s="37">
        <v>988.68</v>
      </c>
      <c r="Q46" s="33"/>
      <c r="R46" s="38"/>
      <c r="S46" s="38"/>
      <c r="T46" s="38">
        <f t="shared" ref="T46:T68" si="7">L46+M46+N46+O46+P46+Q46+R46+S46</f>
        <v>1948.6799999999998</v>
      </c>
      <c r="U46" s="37">
        <f t="shared" ref="U46:U68" si="8">K46-T46</f>
        <v>8875.98</v>
      </c>
      <c r="V46" s="39" t="s">
        <v>25</v>
      </c>
      <c r="W46" s="40">
        <f t="shared" ref="W46:W68" si="9">D46/22</f>
        <v>898.8</v>
      </c>
      <c r="X46" s="200">
        <f t="shared" ref="X46:X68" si="10">W46/8/60</f>
        <v>1.8724999999999998</v>
      </c>
      <c r="Y46" s="40">
        <f t="shared" ref="Y46:Y68" si="11">D46/23</f>
        <v>859.72173913043468</v>
      </c>
      <c r="Z46" s="201">
        <f t="shared" ref="Z46:Z68" si="12">Y46/8/60</f>
        <v>1.7910869565217389</v>
      </c>
      <c r="AA46" s="126"/>
      <c r="AB46" s="126"/>
      <c r="AC46" s="127"/>
      <c r="AD46" s="127"/>
      <c r="AE46" s="128"/>
      <c r="AF46" s="128"/>
    </row>
    <row r="47" spans="1:32" ht="11.25" customHeight="1">
      <c r="A47" s="125" t="s">
        <v>26</v>
      </c>
      <c r="B47" s="31" t="s">
        <v>82</v>
      </c>
      <c r="C47" s="31" t="s">
        <v>24</v>
      </c>
      <c r="D47" s="35">
        <v>18361.2</v>
      </c>
      <c r="E47" s="33">
        <v>10</v>
      </c>
      <c r="F47" s="35">
        <v>798.31</v>
      </c>
      <c r="G47" s="35"/>
      <c r="H47" s="35"/>
      <c r="I47" s="35"/>
      <c r="J47" s="35"/>
      <c r="K47" s="36">
        <v>9629.68</v>
      </c>
      <c r="L47" s="35"/>
      <c r="M47" s="38"/>
      <c r="N47" s="172">
        <v>760</v>
      </c>
      <c r="O47" s="172">
        <v>200</v>
      </c>
      <c r="P47" s="37">
        <v>918.06</v>
      </c>
      <c r="Q47" s="33"/>
      <c r="R47" s="38"/>
      <c r="S47" s="38"/>
      <c r="T47" s="38">
        <f t="shared" si="7"/>
        <v>1878.06</v>
      </c>
      <c r="U47" s="37">
        <f t="shared" si="8"/>
        <v>7751.6200000000008</v>
      </c>
      <c r="V47" s="39" t="s">
        <v>25</v>
      </c>
      <c r="W47" s="40">
        <f t="shared" si="9"/>
        <v>834.6</v>
      </c>
      <c r="X47" s="200">
        <f t="shared" si="10"/>
        <v>1.73875</v>
      </c>
      <c r="Y47" s="40">
        <f t="shared" si="11"/>
        <v>798.31304347826085</v>
      </c>
      <c r="Z47" s="201">
        <f t="shared" si="12"/>
        <v>1.6631521739130435</v>
      </c>
      <c r="AA47" s="126"/>
      <c r="AB47" s="126"/>
      <c r="AC47" s="127"/>
      <c r="AD47" s="127"/>
      <c r="AE47" s="128"/>
      <c r="AF47" s="128"/>
    </row>
    <row r="48" spans="1:32" ht="11.25" customHeight="1">
      <c r="A48" s="125" t="s">
        <v>28</v>
      </c>
      <c r="B48" s="31" t="s">
        <v>83</v>
      </c>
      <c r="C48" s="31" t="s">
        <v>24</v>
      </c>
      <c r="D48" s="35">
        <v>21186</v>
      </c>
      <c r="E48" s="33">
        <v>10.5</v>
      </c>
      <c r="F48" s="34">
        <v>921.13</v>
      </c>
      <c r="G48" s="35"/>
      <c r="H48" s="35"/>
      <c r="I48" s="35"/>
      <c r="J48" s="35"/>
      <c r="K48" s="36">
        <v>11597.87</v>
      </c>
      <c r="L48" s="35"/>
      <c r="M48" s="38"/>
      <c r="N48" s="172">
        <v>2935</v>
      </c>
      <c r="O48" s="172">
        <v>200</v>
      </c>
      <c r="P48" s="37">
        <v>1059.3</v>
      </c>
      <c r="Q48" s="33"/>
      <c r="R48" s="38"/>
      <c r="S48" s="38"/>
      <c r="T48" s="38">
        <f t="shared" si="7"/>
        <v>4194.3</v>
      </c>
      <c r="U48" s="37">
        <f t="shared" si="8"/>
        <v>7403.5700000000006</v>
      </c>
      <c r="V48" s="39" t="s">
        <v>25</v>
      </c>
      <c r="W48" s="40">
        <f t="shared" si="9"/>
        <v>963</v>
      </c>
      <c r="X48" s="200">
        <f t="shared" si="10"/>
        <v>2.0062500000000001</v>
      </c>
      <c r="Y48" s="40">
        <f t="shared" si="11"/>
        <v>921.13043478260875</v>
      </c>
      <c r="Z48" s="201">
        <f t="shared" si="12"/>
        <v>1.9190217391304349</v>
      </c>
      <c r="AA48" s="126"/>
      <c r="AB48" s="126"/>
      <c r="AC48" s="127"/>
      <c r="AD48" s="127"/>
      <c r="AE48" s="128"/>
      <c r="AF48" s="128"/>
    </row>
    <row r="49" spans="1:32" ht="11.25" customHeight="1">
      <c r="A49" s="125" t="s">
        <v>30</v>
      </c>
      <c r="B49" s="31" t="s">
        <v>84</v>
      </c>
      <c r="C49" s="31" t="s">
        <v>24</v>
      </c>
      <c r="D49" s="35">
        <v>19773.599999999999</v>
      </c>
      <c r="E49" s="33">
        <v>11</v>
      </c>
      <c r="F49" s="34">
        <v>859.72</v>
      </c>
      <c r="G49" s="35"/>
      <c r="H49" s="35"/>
      <c r="I49" s="35"/>
      <c r="J49" s="35"/>
      <c r="K49" s="36">
        <v>11254.52</v>
      </c>
      <c r="L49" s="35">
        <v>337.64</v>
      </c>
      <c r="M49" s="38">
        <v>225.09</v>
      </c>
      <c r="N49" s="172">
        <v>760</v>
      </c>
      <c r="O49" s="172">
        <v>200</v>
      </c>
      <c r="P49" s="37">
        <v>988.68</v>
      </c>
      <c r="Q49" s="33"/>
      <c r="R49" s="38"/>
      <c r="S49" s="38"/>
      <c r="T49" s="38">
        <f t="shared" si="7"/>
        <v>2511.41</v>
      </c>
      <c r="U49" s="37">
        <f t="shared" si="8"/>
        <v>8743.11</v>
      </c>
      <c r="V49" s="129"/>
      <c r="W49" s="40">
        <f t="shared" si="9"/>
        <v>898.8</v>
      </c>
      <c r="X49" s="200">
        <f t="shared" si="10"/>
        <v>1.8724999999999998</v>
      </c>
      <c r="Y49" s="40">
        <f t="shared" si="11"/>
        <v>859.72173913043468</v>
      </c>
      <c r="Z49" s="201">
        <f t="shared" si="12"/>
        <v>1.7910869565217389</v>
      </c>
      <c r="AA49" s="126"/>
      <c r="AB49" s="126"/>
      <c r="AC49" s="127"/>
      <c r="AD49" s="127"/>
      <c r="AE49" s="128"/>
      <c r="AF49" s="128"/>
    </row>
    <row r="50" spans="1:32" ht="11.25" customHeight="1">
      <c r="A50" s="125" t="s">
        <v>32</v>
      </c>
      <c r="B50" s="31" t="s">
        <v>144</v>
      </c>
      <c r="C50" s="31" t="s">
        <v>24</v>
      </c>
      <c r="D50" s="35">
        <v>18361.2</v>
      </c>
      <c r="E50" s="33">
        <v>9</v>
      </c>
      <c r="F50" s="34">
        <v>798.31</v>
      </c>
      <c r="G50" s="35"/>
      <c r="H50" s="35"/>
      <c r="I50" s="35"/>
      <c r="J50" s="35"/>
      <c r="K50" s="36">
        <v>7858.93</v>
      </c>
      <c r="L50" s="35"/>
      <c r="M50" s="38"/>
      <c r="N50" s="172"/>
      <c r="O50" s="172"/>
      <c r="P50" s="33"/>
      <c r="Q50" s="33"/>
      <c r="R50" s="38"/>
      <c r="S50" s="38"/>
      <c r="T50" s="38">
        <f t="shared" si="7"/>
        <v>0</v>
      </c>
      <c r="U50" s="37">
        <f t="shared" si="8"/>
        <v>7858.93</v>
      </c>
      <c r="V50" s="39"/>
      <c r="W50" s="40">
        <f t="shared" si="9"/>
        <v>834.6</v>
      </c>
      <c r="X50" s="200">
        <f t="shared" si="10"/>
        <v>1.73875</v>
      </c>
      <c r="Y50" s="40">
        <f t="shared" si="11"/>
        <v>798.31304347826085</v>
      </c>
      <c r="Z50" s="201">
        <f t="shared" si="12"/>
        <v>1.6631521739130435</v>
      </c>
      <c r="AA50" s="126"/>
      <c r="AB50" s="126"/>
      <c r="AC50" s="127"/>
      <c r="AD50" s="127"/>
      <c r="AE50" s="128"/>
      <c r="AF50" s="128"/>
    </row>
    <row r="51" spans="1:32" ht="11.25" customHeight="1">
      <c r="A51" s="125" t="s">
        <v>34</v>
      </c>
      <c r="B51" s="31" t="s">
        <v>145</v>
      </c>
      <c r="C51" s="31" t="s">
        <v>24</v>
      </c>
      <c r="D51" s="35">
        <v>18361.2</v>
      </c>
      <c r="E51" s="33">
        <v>9</v>
      </c>
      <c r="F51" s="34">
        <v>798.31</v>
      </c>
      <c r="G51" s="35"/>
      <c r="H51" s="35"/>
      <c r="I51" s="35"/>
      <c r="J51" s="35"/>
      <c r="K51" s="36">
        <v>7713.07</v>
      </c>
      <c r="L51" s="35">
        <v>231.39</v>
      </c>
      <c r="M51" s="38">
        <v>154.25</v>
      </c>
      <c r="N51" s="172"/>
      <c r="O51" s="172"/>
      <c r="P51" s="33"/>
      <c r="Q51" s="33"/>
      <c r="R51" s="38"/>
      <c r="S51" s="38"/>
      <c r="T51" s="38">
        <f t="shared" si="7"/>
        <v>385.64</v>
      </c>
      <c r="U51" s="37">
        <f t="shared" si="8"/>
        <v>7327.4299999999994</v>
      </c>
      <c r="V51" s="39"/>
      <c r="W51" s="40">
        <f t="shared" si="9"/>
        <v>834.6</v>
      </c>
      <c r="X51" s="200">
        <f t="shared" si="10"/>
        <v>1.73875</v>
      </c>
      <c r="Y51" s="40">
        <f t="shared" si="11"/>
        <v>798.31304347826085</v>
      </c>
      <c r="Z51" s="201">
        <f t="shared" si="12"/>
        <v>1.6631521739130435</v>
      </c>
      <c r="AA51" s="126"/>
      <c r="AB51" s="126"/>
      <c r="AC51" s="127"/>
      <c r="AD51" s="127"/>
      <c r="AE51" s="128"/>
      <c r="AF51" s="128"/>
    </row>
    <row r="52" spans="1:32" ht="11.25" customHeight="1">
      <c r="A52" s="125" t="s">
        <v>36</v>
      </c>
      <c r="B52" s="31" t="s">
        <v>85</v>
      </c>
      <c r="C52" s="31" t="s">
        <v>24</v>
      </c>
      <c r="D52" s="35">
        <v>25300.04</v>
      </c>
      <c r="E52" s="33">
        <v>11</v>
      </c>
      <c r="F52" s="41">
        <v>1100</v>
      </c>
      <c r="G52" s="35"/>
      <c r="H52" s="35"/>
      <c r="I52" s="35"/>
      <c r="J52" s="35"/>
      <c r="K52" s="36">
        <v>14395.42</v>
      </c>
      <c r="L52" s="35">
        <v>431.86</v>
      </c>
      <c r="M52" s="38">
        <v>287.91000000000003</v>
      </c>
      <c r="N52" s="172">
        <v>760</v>
      </c>
      <c r="O52" s="172">
        <v>200</v>
      </c>
      <c r="P52" s="37">
        <v>1265</v>
      </c>
      <c r="Q52" s="33"/>
      <c r="R52" s="38"/>
      <c r="S52" s="38"/>
      <c r="T52" s="38">
        <f t="shared" si="7"/>
        <v>2944.77</v>
      </c>
      <c r="U52" s="37">
        <f t="shared" si="8"/>
        <v>11450.65</v>
      </c>
      <c r="V52" s="129"/>
      <c r="W52" s="40">
        <f t="shared" si="9"/>
        <v>1150.0018181818182</v>
      </c>
      <c r="X52" s="200">
        <f t="shared" si="10"/>
        <v>2.395837121212121</v>
      </c>
      <c r="Y52" s="40">
        <f t="shared" si="11"/>
        <v>1100.0017391304348</v>
      </c>
      <c r="Z52" s="201">
        <f t="shared" si="12"/>
        <v>2.2916702898550723</v>
      </c>
      <c r="AA52" s="126"/>
      <c r="AB52" s="126"/>
      <c r="AC52" s="127"/>
      <c r="AD52" s="127"/>
      <c r="AE52" s="128"/>
      <c r="AF52" s="128"/>
    </row>
    <row r="53" spans="1:32" ht="11.25" customHeight="1">
      <c r="A53" s="125" t="s">
        <v>38</v>
      </c>
      <c r="B53" s="31" t="s">
        <v>146</v>
      </c>
      <c r="C53" s="31" t="s">
        <v>24</v>
      </c>
      <c r="D53" s="35">
        <v>19773.599999999999</v>
      </c>
      <c r="E53" s="33">
        <v>11</v>
      </c>
      <c r="F53" s="41">
        <v>859.72</v>
      </c>
      <c r="G53" s="35"/>
      <c r="H53" s="35"/>
      <c r="I53" s="35"/>
      <c r="J53" s="35"/>
      <c r="K53" s="36">
        <v>10348.56</v>
      </c>
      <c r="L53" s="35">
        <v>310.45999999999998</v>
      </c>
      <c r="M53" s="38">
        <v>206.97</v>
      </c>
      <c r="N53" s="172">
        <v>760</v>
      </c>
      <c r="O53" s="172">
        <v>200</v>
      </c>
      <c r="P53" s="37">
        <v>988.68</v>
      </c>
      <c r="Q53" s="33"/>
      <c r="R53" s="38"/>
      <c r="S53" s="38"/>
      <c r="T53" s="38">
        <f t="shared" si="7"/>
        <v>2466.1099999999997</v>
      </c>
      <c r="U53" s="37">
        <f t="shared" si="8"/>
        <v>7882.45</v>
      </c>
      <c r="V53" s="129"/>
      <c r="W53" s="40">
        <f t="shared" si="9"/>
        <v>898.8</v>
      </c>
      <c r="X53" s="200">
        <f t="shared" si="10"/>
        <v>1.8724999999999998</v>
      </c>
      <c r="Y53" s="40">
        <f t="shared" si="11"/>
        <v>859.72173913043468</v>
      </c>
      <c r="Z53" s="201">
        <f t="shared" si="12"/>
        <v>1.7910869565217389</v>
      </c>
      <c r="AA53" s="126"/>
      <c r="AB53" s="126"/>
      <c r="AC53" s="127"/>
      <c r="AD53" s="127"/>
      <c r="AE53" s="128"/>
      <c r="AF53" s="128"/>
    </row>
    <row r="54" spans="1:32" ht="11.25" customHeight="1">
      <c r="A54" s="125" t="s">
        <v>40</v>
      </c>
      <c r="B54" s="31" t="s">
        <v>147</v>
      </c>
      <c r="C54" s="31" t="s">
        <v>24</v>
      </c>
      <c r="D54" s="35">
        <v>25300.04</v>
      </c>
      <c r="E54" s="33">
        <v>11</v>
      </c>
      <c r="F54" s="41">
        <v>1100</v>
      </c>
      <c r="G54" s="35"/>
      <c r="H54" s="35"/>
      <c r="I54" s="35"/>
      <c r="J54" s="35"/>
      <c r="K54" s="36">
        <v>14112</v>
      </c>
      <c r="L54" s="35">
        <v>423.36</v>
      </c>
      <c r="M54" s="38">
        <v>282.24</v>
      </c>
      <c r="N54" s="172">
        <v>760</v>
      </c>
      <c r="O54" s="172">
        <v>200</v>
      </c>
      <c r="P54" s="37">
        <v>1265</v>
      </c>
      <c r="Q54" s="33"/>
      <c r="R54" s="38"/>
      <c r="S54" s="38"/>
      <c r="T54" s="38">
        <f t="shared" si="7"/>
        <v>2930.6</v>
      </c>
      <c r="U54" s="37">
        <f t="shared" si="8"/>
        <v>11181.4</v>
      </c>
      <c r="V54" s="129"/>
      <c r="W54" s="40">
        <f t="shared" si="9"/>
        <v>1150.0018181818182</v>
      </c>
      <c r="X54" s="200">
        <f t="shared" si="10"/>
        <v>2.395837121212121</v>
      </c>
      <c r="Y54" s="40">
        <f t="shared" si="11"/>
        <v>1100.0017391304348</v>
      </c>
      <c r="Z54" s="201">
        <f t="shared" si="12"/>
        <v>2.2916702898550723</v>
      </c>
      <c r="AA54" s="126"/>
      <c r="AB54" s="126"/>
      <c r="AC54" s="127"/>
      <c r="AD54" s="127"/>
      <c r="AE54" s="128"/>
      <c r="AF54" s="128"/>
    </row>
    <row r="55" spans="1:32" ht="11.25" customHeight="1">
      <c r="A55" s="125" t="s">
        <v>42</v>
      </c>
      <c r="B55" s="31" t="s">
        <v>86</v>
      </c>
      <c r="C55" s="31" t="s">
        <v>24</v>
      </c>
      <c r="D55" s="35">
        <v>19773.599999999999</v>
      </c>
      <c r="E55" s="33">
        <v>11</v>
      </c>
      <c r="F55" s="35">
        <v>859.72</v>
      </c>
      <c r="G55" s="35"/>
      <c r="H55" s="35"/>
      <c r="I55" s="35"/>
      <c r="J55" s="35"/>
      <c r="K55" s="36">
        <v>11134.19</v>
      </c>
      <c r="L55" s="35">
        <v>334.03</v>
      </c>
      <c r="M55" s="38">
        <v>222.68</v>
      </c>
      <c r="N55" s="172"/>
      <c r="O55" s="172"/>
      <c r="P55" s="33"/>
      <c r="Q55" s="33"/>
      <c r="R55" s="38">
        <v>500</v>
      </c>
      <c r="S55" s="38"/>
      <c r="T55" s="38">
        <f t="shared" si="7"/>
        <v>1056.71</v>
      </c>
      <c r="U55" s="37">
        <f t="shared" si="8"/>
        <v>10077.48</v>
      </c>
      <c r="V55" s="129"/>
      <c r="W55" s="40">
        <f t="shared" si="9"/>
        <v>898.8</v>
      </c>
      <c r="X55" s="200">
        <f t="shared" si="10"/>
        <v>1.8724999999999998</v>
      </c>
      <c r="Y55" s="40">
        <f t="shared" si="11"/>
        <v>859.72173913043468</v>
      </c>
      <c r="Z55" s="201">
        <f t="shared" si="12"/>
        <v>1.7910869565217389</v>
      </c>
      <c r="AA55" s="126"/>
      <c r="AB55" s="126"/>
      <c r="AC55" s="127"/>
      <c r="AD55" s="127"/>
      <c r="AE55" s="128"/>
      <c r="AF55" s="128"/>
    </row>
    <row r="56" spans="1:32" ht="11.25" customHeight="1">
      <c r="A56" s="125" t="s">
        <v>43</v>
      </c>
      <c r="B56" s="31" t="s">
        <v>148</v>
      </c>
      <c r="C56" s="31" t="s">
        <v>24</v>
      </c>
      <c r="D56" s="35">
        <v>18361.2</v>
      </c>
      <c r="E56" s="33">
        <v>11</v>
      </c>
      <c r="F56" s="35">
        <v>798.31</v>
      </c>
      <c r="G56" s="35"/>
      <c r="H56" s="35"/>
      <c r="I56" s="35"/>
      <c r="J56" s="35"/>
      <c r="K56" s="36">
        <v>9429.07</v>
      </c>
      <c r="L56" s="35">
        <v>282.87</v>
      </c>
      <c r="M56" s="38">
        <v>188.58</v>
      </c>
      <c r="N56" s="172"/>
      <c r="O56" s="172"/>
      <c r="P56" s="33"/>
      <c r="Q56" s="33"/>
      <c r="R56" s="38"/>
      <c r="S56" s="38"/>
      <c r="T56" s="38">
        <f t="shared" si="7"/>
        <v>471.45000000000005</v>
      </c>
      <c r="U56" s="37">
        <f t="shared" si="8"/>
        <v>8957.619999999999</v>
      </c>
      <c r="V56" s="129"/>
      <c r="W56" s="40">
        <f t="shared" si="9"/>
        <v>834.6</v>
      </c>
      <c r="X56" s="200">
        <f t="shared" si="10"/>
        <v>1.73875</v>
      </c>
      <c r="Y56" s="40">
        <f t="shared" si="11"/>
        <v>798.31304347826085</v>
      </c>
      <c r="Z56" s="201">
        <f t="shared" si="12"/>
        <v>1.6631521739130435</v>
      </c>
      <c r="AA56" s="126"/>
      <c r="AB56" s="126"/>
      <c r="AC56" s="127"/>
      <c r="AD56" s="127"/>
      <c r="AE56" s="128"/>
      <c r="AF56" s="128"/>
    </row>
    <row r="57" spans="1:32" ht="11.25" customHeight="1">
      <c r="A57" s="125" t="s">
        <v>45</v>
      </c>
      <c r="B57" s="31" t="s">
        <v>149</v>
      </c>
      <c r="C57" s="31" t="s">
        <v>24</v>
      </c>
      <c r="D57" s="35">
        <v>19773.599999999999</v>
      </c>
      <c r="E57" s="33">
        <v>11</v>
      </c>
      <c r="F57" s="35">
        <v>859.72</v>
      </c>
      <c r="G57" s="35"/>
      <c r="H57" s="35"/>
      <c r="I57" s="35"/>
      <c r="J57" s="35"/>
      <c r="K57" s="36">
        <v>10355.719999999999</v>
      </c>
      <c r="L57" s="35">
        <v>310.67</v>
      </c>
      <c r="M57" s="38">
        <v>207.11</v>
      </c>
      <c r="N57" s="172"/>
      <c r="O57" s="172"/>
      <c r="P57" s="33"/>
      <c r="Q57" s="33"/>
      <c r="R57" s="38"/>
      <c r="S57" s="38"/>
      <c r="T57" s="38">
        <f t="shared" si="7"/>
        <v>517.78</v>
      </c>
      <c r="U57" s="37">
        <f t="shared" si="8"/>
        <v>9837.9399999999987</v>
      </c>
      <c r="V57" s="129"/>
      <c r="W57" s="40">
        <f t="shared" si="9"/>
        <v>898.8</v>
      </c>
      <c r="X57" s="200">
        <f t="shared" si="10"/>
        <v>1.8724999999999998</v>
      </c>
      <c r="Y57" s="40">
        <f t="shared" si="11"/>
        <v>859.72173913043468</v>
      </c>
      <c r="Z57" s="201">
        <f t="shared" si="12"/>
        <v>1.7910869565217389</v>
      </c>
      <c r="AA57" s="126"/>
      <c r="AB57" s="126"/>
      <c r="AC57" s="127"/>
      <c r="AD57" s="127"/>
      <c r="AE57" s="128"/>
      <c r="AF57" s="128"/>
    </row>
    <row r="58" spans="1:32" ht="11.25" customHeight="1">
      <c r="A58" s="125" t="s">
        <v>90</v>
      </c>
      <c r="B58" s="31" t="s">
        <v>87</v>
      </c>
      <c r="C58" s="31" t="s">
        <v>24</v>
      </c>
      <c r="D58" s="35">
        <v>21186</v>
      </c>
      <c r="E58" s="33">
        <v>11</v>
      </c>
      <c r="F58" s="34">
        <v>921.13</v>
      </c>
      <c r="G58" s="35"/>
      <c r="H58" s="35"/>
      <c r="I58" s="35"/>
      <c r="J58" s="35"/>
      <c r="K58" s="36">
        <v>12046.91</v>
      </c>
      <c r="L58" s="35"/>
      <c r="M58" s="38"/>
      <c r="N58" s="172">
        <v>760</v>
      </c>
      <c r="O58" s="172">
        <v>200</v>
      </c>
      <c r="P58" s="37">
        <v>1059.3</v>
      </c>
      <c r="Q58" s="33">
        <v>500</v>
      </c>
      <c r="R58" s="38"/>
      <c r="S58" s="38"/>
      <c r="T58" s="38">
        <f t="shared" si="7"/>
        <v>2519.3000000000002</v>
      </c>
      <c r="U58" s="37">
        <f t="shared" si="8"/>
        <v>9527.61</v>
      </c>
      <c r="V58" s="39" t="s">
        <v>25</v>
      </c>
      <c r="W58" s="40">
        <f t="shared" si="9"/>
        <v>963</v>
      </c>
      <c r="X58" s="200">
        <f t="shared" si="10"/>
        <v>2.0062500000000001</v>
      </c>
      <c r="Y58" s="40">
        <f t="shared" si="11"/>
        <v>921.13043478260875</v>
      </c>
      <c r="Z58" s="201">
        <f t="shared" si="12"/>
        <v>1.9190217391304349</v>
      </c>
      <c r="AA58" s="126"/>
      <c r="AB58" s="126"/>
      <c r="AC58" s="127"/>
      <c r="AD58" s="127"/>
      <c r="AE58" s="128"/>
      <c r="AF58" s="128"/>
    </row>
    <row r="59" spans="1:32" ht="11.25" customHeight="1">
      <c r="A59" s="125" t="s">
        <v>91</v>
      </c>
      <c r="B59" s="31" t="s">
        <v>150</v>
      </c>
      <c r="C59" s="31" t="s">
        <v>24</v>
      </c>
      <c r="D59" s="35">
        <v>25300.04</v>
      </c>
      <c r="E59" s="33">
        <v>11</v>
      </c>
      <c r="F59" s="34">
        <v>1100</v>
      </c>
      <c r="G59" s="35"/>
      <c r="H59" s="35"/>
      <c r="I59" s="35"/>
      <c r="J59" s="35"/>
      <c r="K59" s="36">
        <v>12672.71</v>
      </c>
      <c r="L59" s="35">
        <v>380.18</v>
      </c>
      <c r="M59" s="38">
        <v>253.45</v>
      </c>
      <c r="N59" s="172">
        <v>760</v>
      </c>
      <c r="O59" s="172">
        <v>200</v>
      </c>
      <c r="P59" s="37">
        <v>1265</v>
      </c>
      <c r="Q59" s="33"/>
      <c r="R59" s="38"/>
      <c r="S59" s="38"/>
      <c r="T59" s="38">
        <f t="shared" si="7"/>
        <v>2858.63</v>
      </c>
      <c r="U59" s="37">
        <f t="shared" si="8"/>
        <v>9814.0799999999981</v>
      </c>
      <c r="V59" s="39"/>
      <c r="W59" s="40">
        <f t="shared" si="9"/>
        <v>1150.0018181818182</v>
      </c>
      <c r="X59" s="200">
        <f t="shared" si="10"/>
        <v>2.395837121212121</v>
      </c>
      <c r="Y59" s="40">
        <f t="shared" si="11"/>
        <v>1100.0017391304348</v>
      </c>
      <c r="Z59" s="201">
        <f t="shared" si="12"/>
        <v>2.2916702898550723</v>
      </c>
      <c r="AA59" s="126"/>
      <c r="AB59" s="126"/>
      <c r="AC59" s="127"/>
      <c r="AD59" s="127"/>
      <c r="AE59" s="128"/>
      <c r="AF59" s="128"/>
    </row>
    <row r="60" spans="1:32" ht="11.25" customHeight="1">
      <c r="A60" s="125" t="s">
        <v>93</v>
      </c>
      <c r="B60" s="31" t="s">
        <v>88</v>
      </c>
      <c r="C60" s="31" t="s">
        <v>24</v>
      </c>
      <c r="D60" s="35">
        <v>19773.599999999999</v>
      </c>
      <c r="E60" s="33">
        <v>11</v>
      </c>
      <c r="F60" s="34">
        <v>859.72</v>
      </c>
      <c r="G60" s="35"/>
      <c r="H60" s="35"/>
      <c r="I60" s="35"/>
      <c r="J60" s="35"/>
      <c r="K60" s="36">
        <v>11254.52</v>
      </c>
      <c r="L60" s="35"/>
      <c r="M60" s="38"/>
      <c r="N60" s="172">
        <v>760</v>
      </c>
      <c r="O60" s="172">
        <v>200</v>
      </c>
      <c r="P60" s="37">
        <v>988.68</v>
      </c>
      <c r="Q60" s="33"/>
      <c r="R60" s="38"/>
      <c r="S60" s="38"/>
      <c r="T60" s="38">
        <f t="shared" si="7"/>
        <v>1948.6799999999998</v>
      </c>
      <c r="U60" s="37">
        <f t="shared" si="8"/>
        <v>9305.84</v>
      </c>
      <c r="V60" s="39" t="s">
        <v>25</v>
      </c>
      <c r="W60" s="40">
        <f t="shared" si="9"/>
        <v>898.8</v>
      </c>
      <c r="X60" s="200">
        <f t="shared" si="10"/>
        <v>1.8724999999999998</v>
      </c>
      <c r="Y60" s="40">
        <f t="shared" si="11"/>
        <v>859.72173913043468</v>
      </c>
      <c r="Z60" s="201">
        <f t="shared" si="12"/>
        <v>1.7910869565217389</v>
      </c>
      <c r="AA60" s="126"/>
      <c r="AB60" s="126"/>
      <c r="AC60" s="127"/>
      <c r="AD60" s="127"/>
      <c r="AE60" s="128"/>
      <c r="AF60" s="128"/>
    </row>
    <row r="61" spans="1:32" ht="11.25" customHeight="1">
      <c r="A61" s="125" t="s">
        <v>95</v>
      </c>
      <c r="B61" s="31" t="s">
        <v>89</v>
      </c>
      <c r="C61" s="31" t="s">
        <v>24</v>
      </c>
      <c r="D61" s="35">
        <v>25300.04</v>
      </c>
      <c r="E61" s="33">
        <v>11</v>
      </c>
      <c r="F61" s="35">
        <v>1100</v>
      </c>
      <c r="G61" s="35"/>
      <c r="H61" s="35"/>
      <c r="I61" s="35"/>
      <c r="J61" s="35"/>
      <c r="K61" s="36">
        <v>14400</v>
      </c>
      <c r="L61" s="35"/>
      <c r="M61" s="38"/>
      <c r="N61" s="172"/>
      <c r="O61" s="172"/>
      <c r="P61" s="38"/>
      <c r="Q61" s="38"/>
      <c r="R61" s="38"/>
      <c r="S61" s="38"/>
      <c r="T61" s="38">
        <f t="shared" si="7"/>
        <v>0</v>
      </c>
      <c r="U61" s="37">
        <f t="shared" si="8"/>
        <v>14400</v>
      </c>
      <c r="V61" s="39" t="s">
        <v>25</v>
      </c>
      <c r="W61" s="40">
        <f t="shared" si="9"/>
        <v>1150.0018181818182</v>
      </c>
      <c r="X61" s="200">
        <f t="shared" si="10"/>
        <v>2.395837121212121</v>
      </c>
      <c r="Y61" s="40">
        <f t="shared" si="11"/>
        <v>1100.0017391304348</v>
      </c>
      <c r="Z61" s="201">
        <f t="shared" si="12"/>
        <v>2.2916702898550723</v>
      </c>
      <c r="AA61" s="126"/>
      <c r="AB61" s="126"/>
      <c r="AC61" s="130"/>
      <c r="AD61" s="128"/>
      <c r="AE61" s="128"/>
      <c r="AF61" s="128"/>
    </row>
    <row r="62" spans="1:32" ht="11.25" customHeight="1">
      <c r="A62" s="125" t="s">
        <v>97</v>
      </c>
      <c r="B62" s="31" t="s">
        <v>151</v>
      </c>
      <c r="C62" s="31" t="s">
        <v>24</v>
      </c>
      <c r="D62" s="35">
        <v>19773.599999999999</v>
      </c>
      <c r="E62" s="33">
        <v>11</v>
      </c>
      <c r="F62" s="35">
        <v>859.72</v>
      </c>
      <c r="G62" s="35"/>
      <c r="H62" s="35"/>
      <c r="I62" s="35"/>
      <c r="J62" s="35"/>
      <c r="K62" s="36">
        <v>11215.14</v>
      </c>
      <c r="L62" s="35">
        <v>336.45</v>
      </c>
      <c r="M62" s="38">
        <v>224.3</v>
      </c>
      <c r="N62" s="172">
        <v>760</v>
      </c>
      <c r="O62" s="172">
        <v>200</v>
      </c>
      <c r="P62" s="37">
        <f>D62*0.05</f>
        <v>988.68</v>
      </c>
      <c r="Q62" s="38"/>
      <c r="R62" s="38"/>
      <c r="S62" s="38"/>
      <c r="T62" s="38">
        <f t="shared" si="7"/>
        <v>2509.4299999999998</v>
      </c>
      <c r="U62" s="37">
        <f t="shared" si="8"/>
        <v>8705.7099999999991</v>
      </c>
      <c r="V62" s="39"/>
      <c r="W62" s="40">
        <f t="shared" si="9"/>
        <v>898.8</v>
      </c>
      <c r="X62" s="200">
        <f t="shared" si="10"/>
        <v>1.8724999999999998</v>
      </c>
      <c r="Y62" s="40">
        <f t="shared" si="11"/>
        <v>859.72173913043468</v>
      </c>
      <c r="Z62" s="201">
        <f t="shared" si="12"/>
        <v>1.7910869565217389</v>
      </c>
      <c r="AA62" s="126"/>
      <c r="AB62" s="126"/>
      <c r="AC62" s="130"/>
      <c r="AD62" s="128"/>
      <c r="AE62" s="128"/>
      <c r="AF62" s="128"/>
    </row>
    <row r="63" spans="1:32" ht="11.25" customHeight="1">
      <c r="A63" s="125" t="s">
        <v>152</v>
      </c>
      <c r="B63" s="31" t="s">
        <v>153</v>
      </c>
      <c r="C63" s="31" t="s">
        <v>24</v>
      </c>
      <c r="D63" s="35">
        <v>18361.2</v>
      </c>
      <c r="E63" s="33">
        <v>10</v>
      </c>
      <c r="F63" s="35">
        <v>798.31</v>
      </c>
      <c r="G63" s="35"/>
      <c r="H63" s="35"/>
      <c r="I63" s="35"/>
      <c r="J63" s="35"/>
      <c r="K63" s="36">
        <v>8400.4</v>
      </c>
      <c r="L63" s="35"/>
      <c r="M63" s="38"/>
      <c r="N63" s="172"/>
      <c r="O63" s="172"/>
      <c r="P63" s="38"/>
      <c r="Q63" s="38"/>
      <c r="R63" s="38"/>
      <c r="S63" s="38"/>
      <c r="T63" s="38">
        <f t="shared" si="7"/>
        <v>0</v>
      </c>
      <c r="U63" s="37">
        <f t="shared" si="8"/>
        <v>8400.4</v>
      </c>
      <c r="V63" s="39"/>
      <c r="W63" s="40">
        <f t="shared" si="9"/>
        <v>834.6</v>
      </c>
      <c r="X63" s="200">
        <f t="shared" si="10"/>
        <v>1.73875</v>
      </c>
      <c r="Y63" s="40">
        <f t="shared" si="11"/>
        <v>798.31304347826085</v>
      </c>
      <c r="Z63" s="201">
        <f t="shared" si="12"/>
        <v>1.6631521739130435</v>
      </c>
      <c r="AA63" s="126"/>
      <c r="AB63" s="126"/>
      <c r="AC63" s="130"/>
      <c r="AD63" s="128"/>
      <c r="AE63" s="128"/>
      <c r="AF63" s="128"/>
    </row>
    <row r="64" spans="1:32" ht="11.25" customHeight="1">
      <c r="A64" s="125" t="s">
        <v>154</v>
      </c>
      <c r="B64" s="31" t="s">
        <v>92</v>
      </c>
      <c r="C64" s="31" t="s">
        <v>24</v>
      </c>
      <c r="D64" s="35">
        <v>25300.04</v>
      </c>
      <c r="E64" s="33">
        <v>11</v>
      </c>
      <c r="F64" s="35">
        <v>1100</v>
      </c>
      <c r="G64" s="35"/>
      <c r="H64" s="35"/>
      <c r="I64" s="35"/>
      <c r="J64" s="35"/>
      <c r="K64" s="36">
        <v>14395.2</v>
      </c>
      <c r="L64" s="35"/>
      <c r="M64" s="38"/>
      <c r="N64" s="172"/>
      <c r="O64" s="172"/>
      <c r="P64" s="38"/>
      <c r="Q64" s="38"/>
      <c r="R64" s="38"/>
      <c r="S64" s="38"/>
      <c r="T64" s="38">
        <f t="shared" si="7"/>
        <v>0</v>
      </c>
      <c r="U64" s="37">
        <f t="shared" si="8"/>
        <v>14395.2</v>
      </c>
      <c r="V64" s="39" t="s">
        <v>25</v>
      </c>
      <c r="W64" s="40">
        <f t="shared" si="9"/>
        <v>1150.0018181818182</v>
      </c>
      <c r="X64" s="200">
        <f t="shared" si="10"/>
        <v>2.395837121212121</v>
      </c>
      <c r="Y64" s="40">
        <f t="shared" si="11"/>
        <v>1100.0017391304348</v>
      </c>
      <c r="Z64" s="201">
        <f t="shared" si="12"/>
        <v>2.2916702898550723</v>
      </c>
      <c r="AA64" s="131"/>
      <c r="AB64" s="126"/>
      <c r="AC64" s="127"/>
      <c r="AD64" s="128"/>
      <c r="AE64" s="128"/>
      <c r="AF64" s="128"/>
    </row>
    <row r="65" spans="1:53" ht="11.25" customHeight="1">
      <c r="A65" s="125" t="s">
        <v>155</v>
      </c>
      <c r="B65" s="31" t="s">
        <v>156</v>
      </c>
      <c r="C65" s="31" t="s">
        <v>24</v>
      </c>
      <c r="D65" s="35">
        <v>19773.599999999999</v>
      </c>
      <c r="E65" s="33">
        <v>11</v>
      </c>
      <c r="F65" s="35">
        <v>859.72</v>
      </c>
      <c r="G65" s="35"/>
      <c r="H65" s="35"/>
      <c r="I65" s="35"/>
      <c r="J65" s="35"/>
      <c r="K65" s="36">
        <v>10355.719999999999</v>
      </c>
      <c r="L65" s="35">
        <v>310.67</v>
      </c>
      <c r="M65" s="38">
        <v>207.11</v>
      </c>
      <c r="N65" s="172"/>
      <c r="O65" s="172"/>
      <c r="P65" s="38"/>
      <c r="Q65" s="38"/>
      <c r="R65" s="38"/>
      <c r="S65" s="38"/>
      <c r="T65" s="38">
        <f t="shared" si="7"/>
        <v>517.78</v>
      </c>
      <c r="U65" s="37">
        <f t="shared" si="8"/>
        <v>9837.9399999999987</v>
      </c>
      <c r="V65" s="39"/>
      <c r="W65" s="40">
        <f t="shared" si="9"/>
        <v>898.8</v>
      </c>
      <c r="X65" s="200">
        <f t="shared" si="10"/>
        <v>1.8724999999999998</v>
      </c>
      <c r="Y65" s="40">
        <f t="shared" si="11"/>
        <v>859.72173913043468</v>
      </c>
      <c r="Z65" s="201">
        <f t="shared" si="12"/>
        <v>1.7910869565217389</v>
      </c>
      <c r="AA65" s="131"/>
      <c r="AB65" s="126"/>
      <c r="AC65" s="127"/>
      <c r="AD65" s="128"/>
      <c r="AE65" s="128"/>
      <c r="AF65" s="128"/>
    </row>
    <row r="66" spans="1:53" ht="12" customHeight="1">
      <c r="A66" s="125" t="s">
        <v>157</v>
      </c>
      <c r="B66" s="31" t="s">
        <v>94</v>
      </c>
      <c r="C66" s="31" t="s">
        <v>24</v>
      </c>
      <c r="D66" s="35">
        <v>18361.2</v>
      </c>
      <c r="E66" s="33">
        <v>11</v>
      </c>
      <c r="F66" s="35">
        <v>798.31</v>
      </c>
      <c r="G66" s="35"/>
      <c r="H66" s="35"/>
      <c r="I66" s="35"/>
      <c r="J66" s="35"/>
      <c r="K66" s="36">
        <v>10447.129999999999</v>
      </c>
      <c r="L66" s="35">
        <v>313.41000000000003</v>
      </c>
      <c r="M66" s="38">
        <v>208.94</v>
      </c>
      <c r="N66" s="210">
        <v>760</v>
      </c>
      <c r="O66" s="210">
        <v>200</v>
      </c>
      <c r="P66" s="37">
        <v>918.06</v>
      </c>
      <c r="Q66" s="33"/>
      <c r="R66" s="38"/>
      <c r="S66" s="38"/>
      <c r="T66" s="38">
        <f t="shared" si="7"/>
        <v>2400.41</v>
      </c>
      <c r="U66" s="37">
        <f t="shared" si="8"/>
        <v>8046.7199999999993</v>
      </c>
      <c r="V66" s="132"/>
      <c r="W66" s="40">
        <f t="shared" si="9"/>
        <v>834.6</v>
      </c>
      <c r="X66" s="200">
        <f t="shared" si="10"/>
        <v>1.73875</v>
      </c>
      <c r="Y66" s="40">
        <f t="shared" si="11"/>
        <v>798.31304347826085</v>
      </c>
      <c r="Z66" s="201">
        <f t="shared" si="12"/>
        <v>1.6631521739130435</v>
      </c>
      <c r="AA66" s="126"/>
      <c r="AB66" s="126"/>
      <c r="AC66" s="127"/>
      <c r="AD66" s="127"/>
      <c r="AE66" s="128"/>
      <c r="AF66" s="128"/>
    </row>
    <row r="67" spans="1:53" ht="11.25" customHeight="1">
      <c r="A67" s="125" t="s">
        <v>158</v>
      </c>
      <c r="B67" s="31" t="s">
        <v>96</v>
      </c>
      <c r="C67" s="31" t="s">
        <v>24</v>
      </c>
      <c r="D67" s="35">
        <v>18361.2</v>
      </c>
      <c r="E67" s="33">
        <v>11</v>
      </c>
      <c r="F67" s="35">
        <v>798.31</v>
      </c>
      <c r="G67" s="35"/>
      <c r="H67" s="35"/>
      <c r="I67" s="35"/>
      <c r="J67" s="35"/>
      <c r="K67" s="36">
        <v>8718.33</v>
      </c>
      <c r="L67" s="35"/>
      <c r="M67" s="38"/>
      <c r="N67" s="172"/>
      <c r="O67" s="172"/>
      <c r="P67" s="33"/>
      <c r="Q67" s="33"/>
      <c r="R67" s="38"/>
      <c r="S67" s="38"/>
      <c r="T67" s="38">
        <f t="shared" si="7"/>
        <v>0</v>
      </c>
      <c r="U67" s="37">
        <f t="shared" si="8"/>
        <v>8718.33</v>
      </c>
      <c r="V67" s="39" t="s">
        <v>25</v>
      </c>
      <c r="W67" s="40">
        <f t="shared" si="9"/>
        <v>834.6</v>
      </c>
      <c r="X67" s="200">
        <f t="shared" si="10"/>
        <v>1.73875</v>
      </c>
      <c r="Y67" s="40">
        <f t="shared" si="11"/>
        <v>798.31304347826085</v>
      </c>
      <c r="Z67" s="201">
        <f t="shared" si="12"/>
        <v>1.6631521739130435</v>
      </c>
      <c r="AA67" s="126"/>
      <c r="AB67" s="126"/>
      <c r="AC67" s="127"/>
      <c r="AD67" s="127"/>
      <c r="AE67" s="128"/>
      <c r="AF67" s="128"/>
    </row>
    <row r="68" spans="1:53" ht="11.25" customHeight="1">
      <c r="A68" s="125" t="s">
        <v>159</v>
      </c>
      <c r="B68" s="45" t="s">
        <v>98</v>
      </c>
      <c r="C68" s="31" t="s">
        <v>24</v>
      </c>
      <c r="D68" s="35">
        <v>18361.2</v>
      </c>
      <c r="E68" s="133">
        <v>9</v>
      </c>
      <c r="F68" s="35">
        <v>798.31</v>
      </c>
      <c r="G68" s="46"/>
      <c r="H68" s="46"/>
      <c r="I68" s="46"/>
      <c r="J68" s="46"/>
      <c r="K68" s="36">
        <v>8573.4500000000007</v>
      </c>
      <c r="L68" s="35">
        <v>257.2</v>
      </c>
      <c r="M68" s="38">
        <v>171.47</v>
      </c>
      <c r="N68" s="203">
        <v>760</v>
      </c>
      <c r="O68" s="203">
        <v>200</v>
      </c>
      <c r="P68" s="37">
        <v>918.06</v>
      </c>
      <c r="Q68" s="134"/>
      <c r="R68" s="38"/>
      <c r="S68" s="38"/>
      <c r="T68" s="38">
        <f t="shared" si="7"/>
        <v>2306.73</v>
      </c>
      <c r="U68" s="37">
        <f t="shared" si="8"/>
        <v>6266.7200000000012</v>
      </c>
      <c r="V68" s="135"/>
      <c r="W68" s="40">
        <f t="shared" si="9"/>
        <v>834.6</v>
      </c>
      <c r="X68" s="200">
        <f t="shared" si="10"/>
        <v>1.73875</v>
      </c>
      <c r="Y68" s="40">
        <f t="shared" si="11"/>
        <v>798.31304347826085</v>
      </c>
      <c r="Z68" s="201">
        <f t="shared" si="12"/>
        <v>1.6631521739130435</v>
      </c>
      <c r="AA68" s="126"/>
      <c r="AB68" s="126"/>
      <c r="AC68" s="127"/>
      <c r="AD68" s="127"/>
      <c r="AE68" s="128"/>
      <c r="AF68" s="128"/>
    </row>
    <row r="69" spans="1:53" s="62" customFormat="1" ht="18" customHeight="1" thickBot="1">
      <c r="A69" s="136"/>
      <c r="B69" s="137"/>
      <c r="C69" s="138"/>
      <c r="D69" s="138"/>
      <c r="E69" s="138"/>
      <c r="F69" s="139"/>
      <c r="G69" s="139"/>
      <c r="H69" s="139"/>
      <c r="I69" s="139"/>
      <c r="J69" s="139"/>
      <c r="K69" s="139">
        <f t="shared" ref="K69:U69" si="13">SUM(K46:K68)</f>
        <v>251133.19999999998</v>
      </c>
      <c r="L69" s="139">
        <f t="shared" si="13"/>
        <v>4260.1899999999996</v>
      </c>
      <c r="M69" s="139">
        <f t="shared" si="13"/>
        <v>2840.1</v>
      </c>
      <c r="N69" s="139">
        <f t="shared" si="13"/>
        <v>12055</v>
      </c>
      <c r="O69" s="139">
        <f t="shared" si="13"/>
        <v>2600</v>
      </c>
      <c r="P69" s="139">
        <f t="shared" si="13"/>
        <v>13611.179999999998</v>
      </c>
      <c r="Q69" s="139">
        <f t="shared" si="13"/>
        <v>500</v>
      </c>
      <c r="R69" s="139">
        <f t="shared" si="13"/>
        <v>500</v>
      </c>
      <c r="S69" s="139">
        <f t="shared" si="13"/>
        <v>0</v>
      </c>
      <c r="T69" s="139">
        <f t="shared" si="13"/>
        <v>36366.47</v>
      </c>
      <c r="U69" s="139">
        <f t="shared" si="13"/>
        <v>214766.72999999998</v>
      </c>
      <c r="V69" s="139"/>
    </row>
    <row r="70" spans="1:53" s="67" customFormat="1" ht="13.5" customHeight="1" thickTop="1">
      <c r="A70" s="57" t="s">
        <v>47</v>
      </c>
      <c r="B70" s="58"/>
      <c r="C70" s="58"/>
      <c r="D70" s="58"/>
      <c r="E70" s="59"/>
      <c r="F70" s="60" t="s">
        <v>48</v>
      </c>
      <c r="G70" s="59"/>
      <c r="H70" s="59"/>
      <c r="I70" s="59"/>
      <c r="J70" s="59"/>
      <c r="K70" s="61" t="s">
        <v>49</v>
      </c>
      <c r="L70" s="61" t="s">
        <v>50</v>
      </c>
      <c r="M70" s="62" t="s">
        <v>51</v>
      </c>
      <c r="N70" s="204"/>
      <c r="O70" s="63"/>
      <c r="P70" s="63"/>
      <c r="Q70" s="63"/>
      <c r="R70" s="62"/>
      <c r="S70" s="62"/>
      <c r="T70" s="64"/>
      <c r="U70" s="65">
        <f>U69</f>
        <v>214766.72999999998</v>
      </c>
      <c r="V70" s="66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3" ht="13.5" customHeight="1">
      <c r="A71" s="57"/>
      <c r="B71" s="58"/>
      <c r="C71" s="58"/>
      <c r="D71" s="58"/>
      <c r="E71" s="59"/>
      <c r="F71" s="68" t="s">
        <v>52</v>
      </c>
      <c r="G71" s="58" t="s">
        <v>53</v>
      </c>
      <c r="H71" s="58"/>
      <c r="I71" s="58"/>
      <c r="J71" s="58"/>
      <c r="K71" s="69">
        <f>K69</f>
        <v>251133.19999999998</v>
      </c>
      <c r="L71" s="70">
        <v>0</v>
      </c>
      <c r="M71" s="71"/>
      <c r="N71" s="106"/>
      <c r="O71" s="71"/>
      <c r="P71" s="71"/>
      <c r="Q71" s="71"/>
      <c r="R71" s="62"/>
      <c r="S71" s="62"/>
      <c r="T71" s="59"/>
      <c r="U71" s="59"/>
      <c r="V71" s="72"/>
      <c r="X71" s="5"/>
      <c r="Z71" s="5"/>
    </row>
    <row r="72" spans="1:53" ht="13.5" customHeight="1">
      <c r="A72" s="73"/>
      <c r="B72" s="74"/>
      <c r="C72" s="64"/>
      <c r="D72" s="64"/>
      <c r="E72" s="59"/>
      <c r="F72" s="68" t="s">
        <v>54</v>
      </c>
      <c r="G72" s="59" t="s">
        <v>55</v>
      </c>
      <c r="H72" s="59"/>
      <c r="I72" s="59"/>
      <c r="J72" s="59"/>
      <c r="K72" s="69"/>
      <c r="L72" s="75">
        <f>L69+M69</f>
        <v>7100.2899999999991</v>
      </c>
      <c r="M72" s="76"/>
      <c r="N72" s="205"/>
      <c r="O72" s="76"/>
      <c r="P72" s="76"/>
      <c r="Q72" s="76"/>
      <c r="R72" s="62"/>
      <c r="S72" s="62"/>
      <c r="T72" s="77"/>
      <c r="U72" s="59"/>
      <c r="V72" s="72"/>
      <c r="X72" s="5"/>
      <c r="Z72" s="5"/>
    </row>
    <row r="73" spans="1:53" ht="13.5" customHeight="1">
      <c r="A73" s="78" t="s">
        <v>56</v>
      </c>
      <c r="B73" s="79"/>
      <c r="C73" s="79"/>
      <c r="D73" s="79"/>
      <c r="E73" s="80"/>
      <c r="F73" s="68" t="s">
        <v>57</v>
      </c>
      <c r="G73" s="59" t="s">
        <v>58</v>
      </c>
      <c r="H73" s="59"/>
      <c r="I73" s="59"/>
      <c r="J73" s="59"/>
      <c r="K73" s="81"/>
      <c r="L73" s="75">
        <f>R69</f>
        <v>500</v>
      </c>
      <c r="M73" s="76"/>
      <c r="N73" s="82" t="s">
        <v>59</v>
      </c>
      <c r="O73" s="82"/>
      <c r="P73" s="82"/>
      <c r="Q73" s="82"/>
      <c r="R73" s="82"/>
      <c r="S73" s="82"/>
      <c r="T73" s="82"/>
      <c r="U73" s="82"/>
      <c r="V73" s="83"/>
      <c r="X73" s="5"/>
      <c r="Z73" s="5"/>
    </row>
    <row r="74" spans="1:53" ht="13.5" customHeight="1">
      <c r="A74" s="84" t="s">
        <v>60</v>
      </c>
      <c r="B74" s="85"/>
      <c r="C74" s="85"/>
      <c r="D74" s="85"/>
      <c r="E74" s="86"/>
      <c r="F74" s="68" t="s">
        <v>57</v>
      </c>
      <c r="G74" s="59" t="s">
        <v>99</v>
      </c>
      <c r="H74" s="59"/>
      <c r="I74" s="59"/>
      <c r="J74" s="59"/>
      <c r="K74" s="87"/>
      <c r="L74" s="75">
        <f>Q69</f>
        <v>500</v>
      </c>
      <c r="M74" s="76"/>
      <c r="N74" s="85" t="s">
        <v>62</v>
      </c>
      <c r="O74" s="85"/>
      <c r="P74" s="85"/>
      <c r="Q74" s="85"/>
      <c r="R74" s="85"/>
      <c r="S74" s="85"/>
      <c r="T74" s="85"/>
      <c r="U74" s="85"/>
      <c r="V74" s="88"/>
      <c r="X74" s="5"/>
      <c r="Z74" s="5"/>
    </row>
    <row r="75" spans="1:53" ht="13.5" customHeight="1">
      <c r="A75" s="73"/>
      <c r="B75" s="64"/>
      <c r="C75" s="64"/>
      <c r="D75" s="64"/>
      <c r="E75" s="59"/>
      <c r="F75" s="68" t="s">
        <v>57</v>
      </c>
      <c r="G75" s="59" t="s">
        <v>63</v>
      </c>
      <c r="H75" s="59"/>
      <c r="I75" s="59"/>
      <c r="J75" s="59"/>
      <c r="K75" s="87"/>
      <c r="L75" s="75">
        <f>N69</f>
        <v>12055</v>
      </c>
      <c r="M75" s="76"/>
      <c r="N75" s="205"/>
      <c r="O75" s="76"/>
      <c r="P75" s="76"/>
      <c r="Q75" s="76"/>
      <c r="R75" s="64"/>
      <c r="S75" s="64"/>
      <c r="T75" s="59"/>
      <c r="U75" s="59"/>
      <c r="V75" s="72"/>
      <c r="X75" s="5"/>
      <c r="Z75" s="5"/>
    </row>
    <row r="76" spans="1:53" ht="13.5" customHeight="1">
      <c r="A76" s="73"/>
      <c r="B76" s="64"/>
      <c r="C76" s="64"/>
      <c r="D76" s="64"/>
      <c r="E76" s="59"/>
      <c r="F76" s="68" t="s">
        <v>140</v>
      </c>
      <c r="G76" s="206" t="s">
        <v>141</v>
      </c>
      <c r="H76" s="59"/>
      <c r="I76" s="59"/>
      <c r="J76" s="59"/>
      <c r="K76" s="87"/>
      <c r="L76" s="75">
        <f>O69</f>
        <v>2600</v>
      </c>
      <c r="M76" s="76"/>
      <c r="N76" s="205"/>
      <c r="O76" s="76"/>
      <c r="P76" s="76"/>
      <c r="Q76" s="76"/>
      <c r="R76" s="64"/>
      <c r="S76" s="64"/>
      <c r="T76" s="59"/>
      <c r="U76" s="59"/>
      <c r="V76" s="72"/>
      <c r="X76" s="5"/>
      <c r="Z76" s="5"/>
    </row>
    <row r="77" spans="1:53" ht="13.5" customHeight="1">
      <c r="A77" s="89"/>
      <c r="B77" s="74"/>
      <c r="C77" s="58"/>
      <c r="D77" s="58"/>
      <c r="E77" s="59"/>
      <c r="F77" s="68" t="s">
        <v>142</v>
      </c>
      <c r="G77" s="206" t="s">
        <v>143</v>
      </c>
      <c r="H77" s="59"/>
      <c r="I77" s="59"/>
      <c r="J77" s="59"/>
      <c r="K77" s="81"/>
      <c r="L77" s="75">
        <f>P69</f>
        <v>13611.179999999998</v>
      </c>
      <c r="M77" s="76"/>
      <c r="N77" s="205"/>
      <c r="O77" s="76"/>
      <c r="P77" s="76"/>
      <c r="Q77" s="76"/>
      <c r="R77" s="64"/>
      <c r="S77" s="64"/>
      <c r="T77" s="64"/>
      <c r="U77" s="64"/>
      <c r="V77" s="66"/>
      <c r="X77" s="5"/>
      <c r="Z77" s="5"/>
    </row>
    <row r="78" spans="1:53" ht="13.5" customHeight="1">
      <c r="A78" s="73" t="s">
        <v>65</v>
      </c>
      <c r="B78" s="64"/>
      <c r="C78" s="58"/>
      <c r="D78" s="58"/>
      <c r="E78" s="59"/>
      <c r="F78" s="68" t="s">
        <v>66</v>
      </c>
      <c r="G78" s="59" t="s">
        <v>67</v>
      </c>
      <c r="H78" s="59"/>
      <c r="I78" s="59"/>
      <c r="J78" s="59"/>
      <c r="K78" s="81"/>
      <c r="L78" s="75">
        <f>U70</f>
        <v>214766.72999999998</v>
      </c>
      <c r="M78" s="76"/>
      <c r="N78" s="205"/>
      <c r="O78" s="76"/>
      <c r="P78" s="76"/>
      <c r="Q78" s="76"/>
      <c r="R78" s="64"/>
      <c r="S78" s="64"/>
      <c r="T78" s="64"/>
      <c r="U78" s="64"/>
      <c r="V78" s="66"/>
      <c r="X78" s="5"/>
      <c r="Y78" s="5" t="s">
        <v>68</v>
      </c>
      <c r="Z78" s="5"/>
    </row>
    <row r="79" spans="1:53" ht="13.5" customHeight="1">
      <c r="A79" s="73"/>
      <c r="B79" s="64"/>
      <c r="C79" s="58"/>
      <c r="D79" s="58"/>
      <c r="E79" s="59"/>
      <c r="F79" s="68"/>
      <c r="G79" s="59"/>
      <c r="H79" s="59"/>
      <c r="I79" s="59"/>
      <c r="J79" s="59"/>
      <c r="K79" s="81"/>
      <c r="L79" s="75"/>
      <c r="M79" s="76"/>
      <c r="N79" s="205"/>
      <c r="O79" s="76"/>
      <c r="P79" s="76"/>
      <c r="Q79" s="76"/>
      <c r="R79" s="64"/>
      <c r="S79" s="64"/>
      <c r="T79" s="64"/>
      <c r="U79" s="64"/>
      <c r="V79" s="66"/>
      <c r="X79" s="5"/>
      <c r="Z79" s="5"/>
    </row>
    <row r="80" spans="1:53" ht="13.5" customHeight="1">
      <c r="A80" s="73"/>
      <c r="B80" s="58"/>
      <c r="C80" s="58"/>
      <c r="D80" s="58"/>
      <c r="E80" s="59"/>
      <c r="F80" s="90"/>
      <c r="G80" s="59"/>
      <c r="H80" s="59"/>
      <c r="I80" s="59"/>
      <c r="J80" s="59"/>
      <c r="K80" s="81"/>
      <c r="L80" s="75"/>
      <c r="M80" s="76"/>
      <c r="N80" s="205"/>
      <c r="O80" s="76"/>
      <c r="P80" s="76"/>
      <c r="Q80" s="76"/>
      <c r="R80" s="64"/>
      <c r="S80" s="64"/>
      <c r="T80" s="64"/>
      <c r="U80" s="64"/>
      <c r="V80" s="66"/>
      <c r="X80" s="5"/>
      <c r="Z80" s="5"/>
    </row>
    <row r="81" spans="1:26" ht="13.5" customHeight="1">
      <c r="A81" s="91" t="s">
        <v>69</v>
      </c>
      <c r="B81" s="82"/>
      <c r="C81" s="82"/>
      <c r="D81" s="82"/>
      <c r="E81" s="92"/>
      <c r="F81" s="90"/>
      <c r="G81" s="59"/>
      <c r="H81" s="59"/>
      <c r="I81" s="59"/>
      <c r="J81" s="59"/>
      <c r="K81" s="81"/>
      <c r="L81" s="75"/>
      <c r="M81" s="93" t="s">
        <v>70</v>
      </c>
      <c r="N81" s="93"/>
      <c r="O81" s="93"/>
      <c r="P81" s="93"/>
      <c r="Q81" s="93"/>
      <c r="R81" s="93"/>
      <c r="S81" s="93"/>
      <c r="T81" s="93"/>
      <c r="U81" s="93"/>
      <c r="V81" s="94"/>
      <c r="X81" s="5"/>
      <c r="Z81" s="5"/>
    </row>
    <row r="82" spans="1:26" ht="13.5" customHeight="1">
      <c r="A82" s="84" t="s">
        <v>71</v>
      </c>
      <c r="B82" s="85"/>
      <c r="C82" s="85"/>
      <c r="D82" s="85"/>
      <c r="E82" s="86"/>
      <c r="F82" s="90"/>
      <c r="G82" s="59"/>
      <c r="H82" s="59"/>
      <c r="I82" s="59"/>
      <c r="J82" s="59"/>
      <c r="K82" s="87"/>
      <c r="L82" s="75"/>
      <c r="M82" s="93"/>
      <c r="N82" s="93"/>
      <c r="O82" s="93"/>
      <c r="P82" s="93"/>
      <c r="Q82" s="93"/>
      <c r="R82" s="93"/>
      <c r="S82" s="93"/>
      <c r="T82" s="93"/>
      <c r="U82" s="93"/>
      <c r="V82" s="94"/>
      <c r="X82" s="5"/>
      <c r="Z82" s="5"/>
    </row>
    <row r="83" spans="1:26" ht="13.5" customHeight="1">
      <c r="A83" s="95"/>
      <c r="B83" s="96"/>
      <c r="C83" s="96"/>
      <c r="D83" s="64"/>
      <c r="E83" s="59"/>
      <c r="F83" s="90"/>
      <c r="G83" s="59"/>
      <c r="H83" s="59"/>
      <c r="I83" s="59"/>
      <c r="J83" s="59"/>
      <c r="K83" s="87"/>
      <c r="L83" s="75"/>
      <c r="M83" s="76"/>
      <c r="N83" s="205"/>
      <c r="O83" s="76"/>
      <c r="P83" s="76"/>
      <c r="Q83" s="76"/>
      <c r="R83" s="97"/>
      <c r="S83" s="97"/>
      <c r="T83" s="97"/>
      <c r="U83" s="97"/>
      <c r="V83" s="98"/>
      <c r="X83" s="5"/>
      <c r="Z83" s="5"/>
    </row>
    <row r="84" spans="1:26" ht="13.5" customHeight="1">
      <c r="A84" s="73" t="s">
        <v>72</v>
      </c>
      <c r="B84" s="58"/>
      <c r="C84" s="58"/>
      <c r="D84" s="99">
        <f>K69</f>
        <v>251133.19999999998</v>
      </c>
      <c r="E84" s="100"/>
      <c r="F84" s="90"/>
      <c r="G84" s="64"/>
      <c r="H84" s="64"/>
      <c r="I84" s="64"/>
      <c r="J84" s="64"/>
      <c r="K84" s="87"/>
      <c r="L84" s="87"/>
      <c r="M84" s="59"/>
      <c r="N84" s="207"/>
      <c r="O84" s="59"/>
      <c r="P84" s="59"/>
      <c r="Q84" s="59"/>
      <c r="R84" s="101"/>
      <c r="S84" s="101"/>
      <c r="T84" s="101"/>
      <c r="U84" s="101"/>
      <c r="V84" s="98"/>
      <c r="X84" s="5"/>
      <c r="Z84" s="5"/>
    </row>
    <row r="85" spans="1:26" ht="13.5" customHeight="1">
      <c r="A85" s="73"/>
      <c r="B85" s="58"/>
      <c r="C85" s="58"/>
      <c r="D85" s="99"/>
      <c r="E85" s="100"/>
      <c r="F85" s="90"/>
      <c r="G85" s="64"/>
      <c r="H85" s="64"/>
      <c r="I85" s="64"/>
      <c r="J85" s="64"/>
      <c r="K85" s="87"/>
      <c r="L85" s="87"/>
      <c r="M85" s="59"/>
      <c r="N85" s="207"/>
      <c r="O85" s="59"/>
      <c r="P85" s="59"/>
      <c r="Q85" s="59"/>
      <c r="R85" s="102" t="s">
        <v>73</v>
      </c>
      <c r="S85" s="102"/>
      <c r="T85" s="102"/>
      <c r="U85" s="102"/>
      <c r="V85" s="103" t="s">
        <v>74</v>
      </c>
      <c r="X85" s="5"/>
      <c r="Z85" s="5"/>
    </row>
    <row r="86" spans="1:26" ht="13.5" customHeight="1">
      <c r="A86" s="91" t="s">
        <v>75</v>
      </c>
      <c r="B86" s="82"/>
      <c r="C86" s="82"/>
      <c r="D86" s="82"/>
      <c r="E86" s="92"/>
      <c r="F86" s="90"/>
      <c r="G86" s="64"/>
      <c r="H86" s="64"/>
      <c r="I86" s="64"/>
      <c r="J86" s="64"/>
      <c r="K86" s="87"/>
      <c r="L86" s="87"/>
      <c r="M86" s="59"/>
      <c r="N86" s="207"/>
      <c r="O86" s="59"/>
      <c r="P86" s="59"/>
      <c r="Q86" s="59"/>
      <c r="R86" s="85" t="s">
        <v>76</v>
      </c>
      <c r="S86" s="85"/>
      <c r="T86" s="85"/>
      <c r="U86" s="85"/>
      <c r="V86" s="105" t="s">
        <v>77</v>
      </c>
      <c r="X86" s="5"/>
      <c r="Z86" s="5"/>
    </row>
    <row r="87" spans="1:26" ht="13.5" customHeight="1">
      <c r="A87" s="84" t="s">
        <v>78</v>
      </c>
      <c r="B87" s="85"/>
      <c r="C87" s="85"/>
      <c r="D87" s="85"/>
      <c r="E87" s="85"/>
      <c r="F87" s="90"/>
      <c r="G87" s="15"/>
      <c r="H87" s="15"/>
      <c r="I87" s="15"/>
      <c r="J87" s="15"/>
      <c r="K87" s="107"/>
      <c r="L87" s="87"/>
      <c r="M87" s="62"/>
      <c r="N87" s="208"/>
      <c r="O87" s="62"/>
      <c r="P87" s="62"/>
      <c r="Q87" s="62"/>
      <c r="R87" s="108"/>
      <c r="S87" s="108"/>
      <c r="T87" s="108"/>
      <c r="U87" s="108"/>
      <c r="V87" s="109"/>
      <c r="X87" s="5"/>
      <c r="Z87" s="5"/>
    </row>
    <row r="88" spans="1:26" ht="13.5" customHeight="1" thickBot="1">
      <c r="A88" s="110"/>
      <c r="B88" s="111"/>
      <c r="C88" s="111"/>
      <c r="D88" s="112"/>
      <c r="E88" s="113"/>
      <c r="F88" s="114"/>
      <c r="G88" s="115"/>
      <c r="H88" s="115"/>
      <c r="I88" s="115"/>
      <c r="J88" s="115"/>
      <c r="K88" s="116">
        <f>SUM(K71:K87)</f>
        <v>251133.19999999998</v>
      </c>
      <c r="L88" s="117">
        <f>SUM(L71:L87)</f>
        <v>251133.19999999998</v>
      </c>
      <c r="M88" s="118"/>
      <c r="N88" s="209"/>
      <c r="O88" s="118"/>
      <c r="P88" s="118"/>
      <c r="Q88" s="118"/>
      <c r="R88" s="119"/>
      <c r="S88" s="119"/>
      <c r="T88" s="119"/>
      <c r="U88" s="119"/>
      <c r="V88" s="120"/>
      <c r="X88" s="5"/>
      <c r="Z88" s="5"/>
    </row>
    <row r="89" spans="1:26" ht="13.5" customHeight="1" thickBot="1">
      <c r="A89" s="68"/>
      <c r="B89" s="64"/>
      <c r="C89" s="64"/>
      <c r="D89" s="64"/>
      <c r="E89" s="59"/>
      <c r="F89" s="59"/>
      <c r="G89" s="121"/>
      <c r="H89" s="121"/>
      <c r="I89" s="121"/>
      <c r="J89" s="121"/>
      <c r="K89" s="122"/>
      <c r="L89" s="123"/>
      <c r="M89" s="123"/>
      <c r="N89" s="104"/>
      <c r="O89" s="123"/>
      <c r="P89" s="123"/>
      <c r="Q89" s="123"/>
      <c r="R89" s="106"/>
      <c r="S89" s="106"/>
      <c r="T89" s="106"/>
      <c r="U89" s="106"/>
      <c r="V89" s="124"/>
      <c r="X89" s="5"/>
      <c r="Z89" s="5"/>
    </row>
    <row r="90" spans="1:26" ht="14.25">
      <c r="A90" s="1" t="s">
        <v>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"/>
      <c r="X90" s="5"/>
      <c r="Z90" s="5"/>
    </row>
    <row r="91" spans="1:26" ht="12.75">
      <c r="A91" s="6" t="s">
        <v>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  <c r="X91" s="5"/>
      <c r="Z91" s="5"/>
    </row>
    <row r="92" spans="1:26">
      <c r="A92" s="140"/>
      <c r="B92" s="141"/>
      <c r="C92" s="141"/>
      <c r="D92" s="142"/>
      <c r="E92" s="143"/>
      <c r="F92" s="142"/>
      <c r="G92" s="144"/>
      <c r="H92" s="145"/>
      <c r="I92" s="145"/>
      <c r="J92" s="145"/>
      <c r="K92" s="142"/>
      <c r="L92" s="142"/>
      <c r="M92" s="142"/>
      <c r="N92" s="211"/>
      <c r="O92" s="142"/>
      <c r="P92" s="142"/>
      <c r="Q92" s="142"/>
      <c r="R92" s="142"/>
      <c r="S92" s="142"/>
      <c r="T92" s="142"/>
      <c r="U92" s="143"/>
      <c r="V92" s="146"/>
      <c r="X92" s="5"/>
      <c r="Z92" s="5"/>
    </row>
    <row r="93" spans="1:26" ht="12">
      <c r="A93" s="9" t="s">
        <v>100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  <c r="X93" s="5"/>
      <c r="Z93" s="5"/>
    </row>
    <row r="94" spans="1:26">
      <c r="A94" s="12" t="str">
        <f>A43</f>
        <v>July 1-15,2026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4"/>
      <c r="X94" s="5"/>
      <c r="Z94" s="5"/>
    </row>
    <row r="95" spans="1:26">
      <c r="A95" s="140"/>
      <c r="C95" s="17"/>
      <c r="V95" s="147"/>
      <c r="X95" s="5"/>
      <c r="Z95" s="5"/>
    </row>
    <row r="96" spans="1:26" ht="10.5" thickBot="1">
      <c r="A96" s="16" t="s">
        <v>3</v>
      </c>
      <c r="C96" s="17"/>
      <c r="U96" s="21" t="s">
        <v>4</v>
      </c>
      <c r="V96" s="22"/>
      <c r="X96" s="5"/>
      <c r="Z96" s="5"/>
    </row>
    <row r="97" spans="1:53" s="28" customFormat="1" ht="45" customHeight="1">
      <c r="A97" s="23" t="s">
        <v>5</v>
      </c>
      <c r="B97" s="24" t="s">
        <v>6</v>
      </c>
      <c r="C97" s="24" t="s">
        <v>7</v>
      </c>
      <c r="D97" s="25" t="s">
        <v>8</v>
      </c>
      <c r="E97" s="25" t="s">
        <v>9</v>
      </c>
      <c r="F97" s="26" t="s">
        <v>10</v>
      </c>
      <c r="G97" s="26" t="s">
        <v>11</v>
      </c>
      <c r="H97" s="26" t="s">
        <v>136</v>
      </c>
      <c r="I97" s="26" t="s">
        <v>11</v>
      </c>
      <c r="J97" s="26"/>
      <c r="K97" s="26" t="s">
        <v>13</v>
      </c>
      <c r="L97" s="25" t="s">
        <v>17</v>
      </c>
      <c r="M97" s="25" t="s">
        <v>18</v>
      </c>
      <c r="N97" s="198" t="s">
        <v>15</v>
      </c>
      <c r="O97" s="25" t="s">
        <v>137</v>
      </c>
      <c r="P97" s="25" t="s">
        <v>133</v>
      </c>
      <c r="Q97" s="25" t="s">
        <v>16</v>
      </c>
      <c r="R97" s="25" t="s">
        <v>138</v>
      </c>
      <c r="S97" s="25" t="s">
        <v>14</v>
      </c>
      <c r="T97" s="25" t="s">
        <v>19</v>
      </c>
      <c r="U97" s="25" t="s">
        <v>20</v>
      </c>
      <c r="V97" s="27" t="s">
        <v>21</v>
      </c>
      <c r="W97" s="199">
        <v>22</v>
      </c>
      <c r="X97" s="199"/>
      <c r="Y97" s="199">
        <v>23</v>
      </c>
    </row>
    <row r="98" spans="1:53" ht="16.5" customHeight="1">
      <c r="A98" s="125">
        <v>1</v>
      </c>
      <c r="B98" s="31" t="s">
        <v>101</v>
      </c>
      <c r="C98" s="31" t="s">
        <v>102</v>
      </c>
      <c r="D98" s="35">
        <v>19773.599999999999</v>
      </c>
      <c r="E98" s="149">
        <v>10.5</v>
      </c>
      <c r="F98" s="34">
        <v>859.72</v>
      </c>
      <c r="G98" s="35"/>
      <c r="H98" s="35"/>
      <c r="I98" s="35"/>
      <c r="J98" s="35"/>
      <c r="K98" s="36">
        <v>10769.17</v>
      </c>
      <c r="L98" s="35">
        <v>323.08</v>
      </c>
      <c r="M98" s="38">
        <v>215.38</v>
      </c>
      <c r="N98" s="172">
        <v>760</v>
      </c>
      <c r="O98" s="38">
        <v>200</v>
      </c>
      <c r="P98" s="212"/>
      <c r="Q98" s="38"/>
      <c r="R98" s="38"/>
      <c r="S98" s="38"/>
      <c r="T98" s="38">
        <f>L98+M98+N98+O98+P98+Q98+R98+S98</f>
        <v>1498.46</v>
      </c>
      <c r="U98" s="37">
        <f>K98-T98</f>
        <v>9270.7099999999991</v>
      </c>
      <c r="V98" s="132"/>
      <c r="W98" s="40">
        <f>D98/22</f>
        <v>898.8</v>
      </c>
      <c r="X98" s="200">
        <f t="shared" ref="X98:X101" si="14">W98/8/60</f>
        <v>1.8724999999999998</v>
      </c>
      <c r="Y98" s="40">
        <f>D98/23</f>
        <v>859.72173913043468</v>
      </c>
      <c r="Z98" s="201">
        <f t="shared" ref="Z98:Z101" si="15">Y98/8/60</f>
        <v>1.7910869565217389</v>
      </c>
    </row>
    <row r="99" spans="1:53" ht="16.5" customHeight="1">
      <c r="A99" s="125">
        <v>2</v>
      </c>
      <c r="B99" s="31" t="s">
        <v>103</v>
      </c>
      <c r="C99" s="31" t="s">
        <v>102</v>
      </c>
      <c r="D99" s="35">
        <v>25300.04</v>
      </c>
      <c r="E99" s="149">
        <v>10.5</v>
      </c>
      <c r="F99" s="35">
        <v>1100</v>
      </c>
      <c r="G99" s="35"/>
      <c r="H99" s="35"/>
      <c r="I99" s="35"/>
      <c r="J99" s="35"/>
      <c r="K99" s="36">
        <v>13714.89</v>
      </c>
      <c r="L99" s="35">
        <v>411.45</v>
      </c>
      <c r="M99" s="38">
        <v>274.3</v>
      </c>
      <c r="N99" s="172">
        <v>760</v>
      </c>
      <c r="O99" s="38">
        <v>200</v>
      </c>
      <c r="P99" s="37">
        <v>1265</v>
      </c>
      <c r="Q99" s="38"/>
      <c r="R99" s="38"/>
      <c r="S99" s="38"/>
      <c r="T99" s="38">
        <f>L99+M99+N99+O99+P99+Q99+R99+S99</f>
        <v>2910.75</v>
      </c>
      <c r="U99" s="37">
        <f>K99-T99</f>
        <v>10804.14</v>
      </c>
      <c r="V99" s="132"/>
      <c r="W99" s="40">
        <f>D99/22</f>
        <v>1150.0018181818182</v>
      </c>
      <c r="X99" s="200">
        <f t="shared" si="14"/>
        <v>2.395837121212121</v>
      </c>
      <c r="Y99" s="40">
        <f>D99/23</f>
        <v>1100.0017391304348</v>
      </c>
      <c r="Z99" s="201">
        <f t="shared" si="15"/>
        <v>2.2916702898550723</v>
      </c>
    </row>
    <row r="100" spans="1:53" ht="16.5" customHeight="1">
      <c r="A100" s="125">
        <v>3</v>
      </c>
      <c r="B100" s="31" t="s">
        <v>160</v>
      </c>
      <c r="C100" s="31" t="s">
        <v>102</v>
      </c>
      <c r="D100" s="35">
        <v>19773.599999999999</v>
      </c>
      <c r="E100" s="149">
        <v>9</v>
      </c>
      <c r="F100" s="34">
        <v>859.72</v>
      </c>
      <c r="G100" s="35"/>
      <c r="H100" s="35"/>
      <c r="I100" s="35"/>
      <c r="J100" s="35"/>
      <c r="K100" s="36">
        <v>8636.2800000000007</v>
      </c>
      <c r="L100" s="35">
        <v>259.08999999999997</v>
      </c>
      <c r="M100" s="38">
        <v>172.73</v>
      </c>
      <c r="N100" s="172">
        <v>760</v>
      </c>
      <c r="O100" s="38">
        <v>200</v>
      </c>
      <c r="P100" s="37">
        <v>988.68</v>
      </c>
      <c r="Q100" s="38"/>
      <c r="R100" s="38"/>
      <c r="S100" s="38"/>
      <c r="T100" s="38">
        <f>L100+M100+N100+O100+P100+Q100+R100+S100</f>
        <v>2380.5</v>
      </c>
      <c r="U100" s="37">
        <f>K100-T100</f>
        <v>6255.7800000000007</v>
      </c>
      <c r="V100" s="132"/>
      <c r="W100" s="40">
        <f>D100/22</f>
        <v>898.8</v>
      </c>
      <c r="X100" s="200">
        <f t="shared" si="14"/>
        <v>1.8724999999999998</v>
      </c>
      <c r="Y100" s="40">
        <f>D100/23</f>
        <v>859.72173913043468</v>
      </c>
      <c r="Z100" s="201">
        <f t="shared" si="15"/>
        <v>1.7910869565217389</v>
      </c>
    </row>
    <row r="101" spans="1:53" ht="16.5" customHeight="1">
      <c r="A101" s="125">
        <v>4</v>
      </c>
      <c r="B101" s="45" t="s">
        <v>161</v>
      </c>
      <c r="C101" s="31" t="s">
        <v>102</v>
      </c>
      <c r="D101" s="213">
        <v>19773.599999999999</v>
      </c>
      <c r="E101" s="160">
        <v>11</v>
      </c>
      <c r="F101" s="213">
        <v>859.72</v>
      </c>
      <c r="G101" s="46"/>
      <c r="H101" s="46"/>
      <c r="I101" s="46"/>
      <c r="J101" s="46"/>
      <c r="K101" s="36">
        <v>11188.29</v>
      </c>
      <c r="L101" s="35">
        <v>335.65</v>
      </c>
      <c r="M101" s="38">
        <v>223.77</v>
      </c>
      <c r="N101" s="172"/>
      <c r="O101" s="38"/>
      <c r="P101" s="38"/>
      <c r="Q101" s="38"/>
      <c r="R101" s="38"/>
      <c r="S101" s="38"/>
      <c r="T101" s="38">
        <f>L101+M101+N101+O101+P101+Q101+R101+S101</f>
        <v>559.41999999999996</v>
      </c>
      <c r="U101" s="37">
        <f>K101-T101</f>
        <v>10628.87</v>
      </c>
      <c r="V101" s="132"/>
      <c r="W101" s="40">
        <f>D101/22</f>
        <v>898.8</v>
      </c>
      <c r="X101" s="200">
        <f t="shared" si="14"/>
        <v>1.8724999999999998</v>
      </c>
      <c r="Y101" s="40">
        <f>D101/23</f>
        <v>859.72173913043468</v>
      </c>
      <c r="Z101" s="201">
        <f t="shared" si="15"/>
        <v>1.7910869565217389</v>
      </c>
    </row>
    <row r="102" spans="1:53" s="59" customFormat="1" ht="18.75" customHeight="1" thickBot="1">
      <c r="A102" s="151"/>
      <c r="B102" s="152"/>
      <c r="C102" s="153"/>
      <c r="D102" s="153"/>
      <c r="E102" s="153"/>
      <c r="F102" s="154"/>
      <c r="G102" s="155"/>
      <c r="H102" s="155"/>
      <c r="I102" s="155"/>
      <c r="J102" s="155"/>
      <c r="K102" s="156">
        <f>SUM(K98:K101)</f>
        <v>44308.63</v>
      </c>
      <c r="L102" s="156">
        <f t="shared" ref="L102:T102" si="16">SUM(L98:L101)</f>
        <v>1329.27</v>
      </c>
      <c r="M102" s="156">
        <f t="shared" si="16"/>
        <v>886.18</v>
      </c>
      <c r="N102" s="156">
        <f t="shared" si="16"/>
        <v>2280</v>
      </c>
      <c r="O102" s="156">
        <f t="shared" si="16"/>
        <v>600</v>
      </c>
      <c r="P102" s="156">
        <f t="shared" si="16"/>
        <v>2253.6799999999998</v>
      </c>
      <c r="Q102" s="156">
        <f t="shared" si="16"/>
        <v>0</v>
      </c>
      <c r="R102" s="156">
        <f t="shared" si="16"/>
        <v>0</v>
      </c>
      <c r="S102" s="156">
        <f t="shared" si="16"/>
        <v>0</v>
      </c>
      <c r="T102" s="156">
        <f t="shared" si="16"/>
        <v>7349.13</v>
      </c>
      <c r="U102" s="156">
        <f>SUM(U98:U101)</f>
        <v>36959.5</v>
      </c>
      <c r="V102" s="157"/>
    </row>
    <row r="103" spans="1:53" s="67" customFormat="1" ht="13.5" customHeight="1" thickTop="1">
      <c r="A103" s="57" t="s">
        <v>47</v>
      </c>
      <c r="B103" s="58"/>
      <c r="C103" s="58"/>
      <c r="D103" s="58"/>
      <c r="E103" s="59"/>
      <c r="F103" s="60" t="s">
        <v>48</v>
      </c>
      <c r="G103" s="59"/>
      <c r="H103" s="59"/>
      <c r="I103" s="59"/>
      <c r="J103" s="59"/>
      <c r="K103" s="61" t="s">
        <v>49</v>
      </c>
      <c r="L103" s="61" t="s">
        <v>50</v>
      </c>
      <c r="M103" s="62" t="s">
        <v>51</v>
      </c>
      <c r="N103" s="204"/>
      <c r="O103" s="63"/>
      <c r="P103" s="63"/>
      <c r="Q103" s="63"/>
      <c r="R103" s="62"/>
      <c r="S103" s="62"/>
      <c r="T103" s="64"/>
      <c r="U103" s="65">
        <f>U102</f>
        <v>36959.5</v>
      </c>
      <c r="V103" s="66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ht="13.5" customHeight="1">
      <c r="A104" s="57"/>
      <c r="B104" s="58"/>
      <c r="C104" s="58"/>
      <c r="D104" s="58"/>
      <c r="E104" s="59"/>
      <c r="F104" s="68" t="s">
        <v>52</v>
      </c>
      <c r="G104" s="58" t="s">
        <v>53</v>
      </c>
      <c r="H104" s="58"/>
      <c r="I104" s="58"/>
      <c r="J104" s="58"/>
      <c r="K104" s="69">
        <f>K102</f>
        <v>44308.63</v>
      </c>
      <c r="L104" s="70">
        <v>0</v>
      </c>
      <c r="M104" s="71"/>
      <c r="N104" s="106"/>
      <c r="O104" s="71"/>
      <c r="P104" s="71"/>
      <c r="Q104" s="71"/>
      <c r="R104" s="62"/>
      <c r="S104" s="62"/>
      <c r="T104" s="59"/>
      <c r="U104" s="59"/>
      <c r="V104" s="72"/>
      <c r="X104" s="5"/>
      <c r="Z104" s="5"/>
    </row>
    <row r="105" spans="1:53" ht="13.5" customHeight="1">
      <c r="A105" s="73"/>
      <c r="B105" s="74"/>
      <c r="C105" s="64"/>
      <c r="D105" s="64"/>
      <c r="E105" s="59"/>
      <c r="F105" s="68" t="s">
        <v>54</v>
      </c>
      <c r="G105" s="59" t="s">
        <v>55</v>
      </c>
      <c r="H105" s="59"/>
      <c r="I105" s="59"/>
      <c r="J105" s="59"/>
      <c r="K105" s="69"/>
      <c r="L105" s="75">
        <f>L102+M102</f>
        <v>2215.4499999999998</v>
      </c>
      <c r="M105" s="76"/>
      <c r="N105" s="205"/>
      <c r="O105" s="76"/>
      <c r="P105" s="76"/>
      <c r="Q105" s="76"/>
      <c r="R105" s="62"/>
      <c r="S105" s="62"/>
      <c r="T105" s="77"/>
      <c r="U105" s="59"/>
      <c r="V105" s="72"/>
      <c r="X105" s="5"/>
      <c r="Z105" s="5"/>
    </row>
    <row r="106" spans="1:53" ht="13.5" customHeight="1">
      <c r="A106" s="78" t="s">
        <v>56</v>
      </c>
      <c r="B106" s="79"/>
      <c r="C106" s="79"/>
      <c r="D106" s="79"/>
      <c r="E106" s="80"/>
      <c r="F106" s="68" t="s">
        <v>57</v>
      </c>
      <c r="G106" s="59" t="s">
        <v>58</v>
      </c>
      <c r="H106" s="59"/>
      <c r="I106" s="59"/>
      <c r="J106" s="59"/>
      <c r="K106" s="81"/>
      <c r="L106" s="75"/>
      <c r="M106" s="76"/>
      <c r="N106" s="82" t="s">
        <v>59</v>
      </c>
      <c r="O106" s="82"/>
      <c r="P106" s="82"/>
      <c r="Q106" s="82"/>
      <c r="R106" s="82"/>
      <c r="S106" s="82"/>
      <c r="T106" s="82"/>
      <c r="U106" s="82"/>
      <c r="V106" s="83"/>
      <c r="X106" s="5"/>
      <c r="Z106" s="5"/>
    </row>
    <row r="107" spans="1:53" ht="13.5" customHeight="1">
      <c r="A107" s="84" t="s">
        <v>60</v>
      </c>
      <c r="B107" s="85"/>
      <c r="C107" s="85"/>
      <c r="D107" s="85"/>
      <c r="E107" s="86"/>
      <c r="F107" s="68" t="s">
        <v>57</v>
      </c>
      <c r="G107" s="59" t="s">
        <v>99</v>
      </c>
      <c r="H107" s="59"/>
      <c r="I107" s="59"/>
      <c r="J107" s="59"/>
      <c r="K107" s="87"/>
      <c r="L107" s="75"/>
      <c r="M107" s="76"/>
      <c r="N107" s="85" t="s">
        <v>62</v>
      </c>
      <c r="O107" s="85"/>
      <c r="P107" s="85"/>
      <c r="Q107" s="85"/>
      <c r="R107" s="85"/>
      <c r="S107" s="85"/>
      <c r="T107" s="85"/>
      <c r="U107" s="85"/>
      <c r="V107" s="88"/>
      <c r="X107" s="5"/>
      <c r="Z107" s="5"/>
    </row>
    <row r="108" spans="1:53" ht="13.5" customHeight="1">
      <c r="A108" s="73"/>
      <c r="B108" s="64"/>
      <c r="C108" s="64"/>
      <c r="D108" s="64"/>
      <c r="E108" s="59"/>
      <c r="F108" s="68" t="s">
        <v>57</v>
      </c>
      <c r="G108" s="59" t="s">
        <v>63</v>
      </c>
      <c r="H108" s="59"/>
      <c r="I108" s="59"/>
      <c r="J108" s="59"/>
      <c r="K108" s="87"/>
      <c r="L108" s="75">
        <f>N102</f>
        <v>2280</v>
      </c>
      <c r="M108" s="76"/>
      <c r="N108" s="205"/>
      <c r="O108" s="76"/>
      <c r="P108" s="76"/>
      <c r="Q108" s="76"/>
      <c r="R108" s="64"/>
      <c r="S108" s="64"/>
      <c r="T108" s="59"/>
      <c r="U108" s="59"/>
      <c r="V108" s="72"/>
      <c r="X108" s="5"/>
      <c r="Z108" s="5"/>
    </row>
    <row r="109" spans="1:53" ht="13.5" customHeight="1">
      <c r="A109" s="73"/>
      <c r="B109" s="64"/>
      <c r="C109" s="64"/>
      <c r="D109" s="64"/>
      <c r="E109" s="59"/>
      <c r="F109" s="68" t="s">
        <v>140</v>
      </c>
      <c r="G109" s="206" t="s">
        <v>141</v>
      </c>
      <c r="H109" s="59"/>
      <c r="I109" s="59"/>
      <c r="J109" s="59"/>
      <c r="K109" s="87"/>
      <c r="L109" s="75">
        <f>O102</f>
        <v>600</v>
      </c>
      <c r="M109" s="76"/>
      <c r="N109" s="205"/>
      <c r="O109" s="76"/>
      <c r="P109" s="76"/>
      <c r="Q109" s="76"/>
      <c r="R109" s="64"/>
      <c r="S109" s="64"/>
      <c r="T109" s="59"/>
      <c r="U109" s="59"/>
      <c r="V109" s="72"/>
      <c r="X109" s="5"/>
      <c r="Z109" s="5"/>
    </row>
    <row r="110" spans="1:53" ht="13.5" customHeight="1">
      <c r="A110" s="89"/>
      <c r="B110" s="74"/>
      <c r="C110" s="58"/>
      <c r="D110" s="58"/>
      <c r="E110" s="59"/>
      <c r="F110" s="68" t="s">
        <v>142</v>
      </c>
      <c r="G110" s="206" t="s">
        <v>143</v>
      </c>
      <c r="H110" s="59"/>
      <c r="I110" s="59"/>
      <c r="J110" s="59"/>
      <c r="K110" s="81"/>
      <c r="L110" s="75">
        <f>P102</f>
        <v>2253.6799999999998</v>
      </c>
      <c r="M110" s="76"/>
      <c r="N110" s="205"/>
      <c r="O110" s="76"/>
      <c r="P110" s="76"/>
      <c r="Q110" s="76"/>
      <c r="R110" s="64"/>
      <c r="S110" s="64"/>
      <c r="T110" s="64"/>
      <c r="U110" s="64"/>
      <c r="V110" s="66"/>
      <c r="X110" s="5"/>
      <c r="Z110" s="5"/>
    </row>
    <row r="111" spans="1:53" ht="13.5" customHeight="1">
      <c r="A111" s="73" t="s">
        <v>65</v>
      </c>
      <c r="B111" s="64"/>
      <c r="C111" s="58"/>
      <c r="D111" s="58"/>
      <c r="E111" s="59"/>
      <c r="F111" s="68" t="s">
        <v>66</v>
      </c>
      <c r="G111" s="59" t="s">
        <v>67</v>
      </c>
      <c r="H111" s="59"/>
      <c r="I111" s="59"/>
      <c r="J111" s="59"/>
      <c r="K111" s="81"/>
      <c r="L111" s="75">
        <f>U103</f>
        <v>36959.5</v>
      </c>
      <c r="M111" s="76"/>
      <c r="N111" s="205"/>
      <c r="O111" s="76"/>
      <c r="P111" s="76"/>
      <c r="Q111" s="76"/>
      <c r="R111" s="64"/>
      <c r="S111" s="64"/>
      <c r="T111" s="64"/>
      <c r="U111" s="64"/>
      <c r="V111" s="66"/>
      <c r="X111" s="5"/>
      <c r="Y111" s="5" t="s">
        <v>68</v>
      </c>
      <c r="Z111" s="5"/>
    </row>
    <row r="112" spans="1:53" ht="13.5" customHeight="1">
      <c r="A112" s="73"/>
      <c r="B112" s="64"/>
      <c r="C112" s="58"/>
      <c r="D112" s="58"/>
      <c r="E112" s="59"/>
      <c r="F112" s="68"/>
      <c r="G112" s="59"/>
      <c r="H112" s="59"/>
      <c r="I112" s="59"/>
      <c r="J112" s="59"/>
      <c r="K112" s="81"/>
      <c r="L112" s="75"/>
      <c r="M112" s="76"/>
      <c r="N112" s="205"/>
      <c r="O112" s="76"/>
      <c r="P112" s="76"/>
      <c r="Q112" s="76"/>
      <c r="R112" s="64"/>
      <c r="S112" s="64"/>
      <c r="T112" s="64"/>
      <c r="U112" s="64"/>
      <c r="V112" s="66"/>
      <c r="X112" s="5"/>
      <c r="Z112" s="5"/>
    </row>
    <row r="113" spans="1:26" ht="13.5" customHeight="1">
      <c r="A113" s="73"/>
      <c r="B113" s="58"/>
      <c r="C113" s="58"/>
      <c r="D113" s="58"/>
      <c r="E113" s="59"/>
      <c r="F113" s="90"/>
      <c r="G113" s="59"/>
      <c r="H113" s="59"/>
      <c r="I113" s="59"/>
      <c r="J113" s="59"/>
      <c r="K113" s="81"/>
      <c r="L113" s="75"/>
      <c r="M113" s="76"/>
      <c r="N113" s="205"/>
      <c r="O113" s="76"/>
      <c r="P113" s="76"/>
      <c r="Q113" s="76"/>
      <c r="R113" s="64"/>
      <c r="S113" s="64"/>
      <c r="T113" s="64"/>
      <c r="U113" s="64"/>
      <c r="V113" s="66"/>
      <c r="X113" s="5"/>
      <c r="Z113" s="5"/>
    </row>
    <row r="114" spans="1:26" ht="13.5" customHeight="1">
      <c r="A114" s="91" t="s">
        <v>69</v>
      </c>
      <c r="B114" s="82"/>
      <c r="C114" s="82"/>
      <c r="D114" s="82"/>
      <c r="E114" s="92"/>
      <c r="F114" s="90"/>
      <c r="G114" s="59"/>
      <c r="H114" s="59"/>
      <c r="I114" s="59"/>
      <c r="J114" s="59"/>
      <c r="K114" s="81"/>
      <c r="L114" s="75"/>
      <c r="M114" s="93" t="s">
        <v>70</v>
      </c>
      <c r="N114" s="93"/>
      <c r="O114" s="93"/>
      <c r="P114" s="93"/>
      <c r="Q114" s="93"/>
      <c r="R114" s="93"/>
      <c r="S114" s="93"/>
      <c r="T114" s="93"/>
      <c r="U114" s="93"/>
      <c r="V114" s="94"/>
      <c r="X114" s="5"/>
      <c r="Z114" s="5"/>
    </row>
    <row r="115" spans="1:26" ht="13.5" customHeight="1">
      <c r="A115" s="84" t="s">
        <v>71</v>
      </c>
      <c r="B115" s="85"/>
      <c r="C115" s="85"/>
      <c r="D115" s="85"/>
      <c r="E115" s="86"/>
      <c r="F115" s="90"/>
      <c r="G115" s="59"/>
      <c r="H115" s="59"/>
      <c r="I115" s="59"/>
      <c r="J115" s="59"/>
      <c r="K115" s="87"/>
      <c r="L115" s="75"/>
      <c r="M115" s="93"/>
      <c r="N115" s="93"/>
      <c r="O115" s="93"/>
      <c r="P115" s="93"/>
      <c r="Q115" s="93"/>
      <c r="R115" s="93"/>
      <c r="S115" s="93"/>
      <c r="T115" s="93"/>
      <c r="U115" s="93"/>
      <c r="V115" s="94"/>
      <c r="X115" s="5"/>
      <c r="Z115" s="5"/>
    </row>
    <row r="116" spans="1:26" ht="13.5" customHeight="1">
      <c r="A116" s="95"/>
      <c r="B116" s="96"/>
      <c r="C116" s="96"/>
      <c r="D116" s="64"/>
      <c r="E116" s="59"/>
      <c r="F116" s="90"/>
      <c r="G116" s="59"/>
      <c r="H116" s="59"/>
      <c r="I116" s="59"/>
      <c r="J116" s="59"/>
      <c r="K116" s="87"/>
      <c r="L116" s="75"/>
      <c r="M116" s="76"/>
      <c r="N116" s="205"/>
      <c r="O116" s="76"/>
      <c r="P116" s="76"/>
      <c r="Q116" s="76"/>
      <c r="R116" s="97"/>
      <c r="S116" s="97"/>
      <c r="T116" s="97"/>
      <c r="U116" s="97"/>
      <c r="V116" s="98"/>
      <c r="X116" s="5"/>
      <c r="Z116" s="5"/>
    </row>
    <row r="117" spans="1:26" ht="13.5" customHeight="1">
      <c r="A117" s="73" t="s">
        <v>72</v>
      </c>
      <c r="B117" s="58"/>
      <c r="C117" s="58"/>
      <c r="D117" s="99">
        <f>K102</f>
        <v>44308.63</v>
      </c>
      <c r="E117" s="100"/>
      <c r="F117" s="90"/>
      <c r="G117" s="64"/>
      <c r="H117" s="64"/>
      <c r="I117" s="64"/>
      <c r="J117" s="64"/>
      <c r="K117" s="87"/>
      <c r="L117" s="87"/>
      <c r="M117" s="59"/>
      <c r="N117" s="207"/>
      <c r="O117" s="59"/>
      <c r="P117" s="59"/>
      <c r="Q117" s="59"/>
      <c r="R117" s="101"/>
      <c r="S117" s="101"/>
      <c r="T117" s="101"/>
      <c r="U117" s="101"/>
      <c r="V117" s="98"/>
      <c r="X117" s="5"/>
      <c r="Z117" s="5"/>
    </row>
    <row r="118" spans="1:26" ht="13.5" customHeight="1">
      <c r="A118" s="73"/>
      <c r="B118" s="58"/>
      <c r="C118" s="58"/>
      <c r="D118" s="99"/>
      <c r="E118" s="100"/>
      <c r="F118" s="90"/>
      <c r="G118" s="64"/>
      <c r="H118" s="64"/>
      <c r="I118" s="64"/>
      <c r="J118" s="64"/>
      <c r="K118" s="87"/>
      <c r="L118" s="87"/>
      <c r="M118" s="59"/>
      <c r="N118" s="207"/>
      <c r="O118" s="59"/>
      <c r="P118" s="59"/>
      <c r="Q118" s="59"/>
      <c r="R118" s="102" t="s">
        <v>73</v>
      </c>
      <c r="S118" s="102"/>
      <c r="T118" s="102"/>
      <c r="U118" s="102"/>
      <c r="V118" s="103" t="s">
        <v>74</v>
      </c>
      <c r="X118" s="5"/>
      <c r="Z118" s="5"/>
    </row>
    <row r="119" spans="1:26" ht="13.5" customHeight="1">
      <c r="A119" s="91" t="s">
        <v>75</v>
      </c>
      <c r="B119" s="82"/>
      <c r="C119" s="82"/>
      <c r="D119" s="82"/>
      <c r="E119" s="92"/>
      <c r="F119" s="90"/>
      <c r="G119" s="64"/>
      <c r="H119" s="64"/>
      <c r="I119" s="64"/>
      <c r="J119" s="64"/>
      <c r="K119" s="87"/>
      <c r="L119" s="87"/>
      <c r="M119" s="59"/>
      <c r="N119" s="207"/>
      <c r="O119" s="59"/>
      <c r="P119" s="59"/>
      <c r="Q119" s="59"/>
      <c r="R119" s="85" t="s">
        <v>76</v>
      </c>
      <c r="S119" s="85"/>
      <c r="T119" s="85"/>
      <c r="U119" s="85"/>
      <c r="V119" s="105" t="s">
        <v>77</v>
      </c>
      <c r="X119" s="5"/>
      <c r="Z119" s="5"/>
    </row>
    <row r="120" spans="1:26" ht="13.5" customHeight="1">
      <c r="A120" s="84" t="s">
        <v>78</v>
      </c>
      <c r="B120" s="85"/>
      <c r="C120" s="85"/>
      <c r="D120" s="85"/>
      <c r="E120" s="85"/>
      <c r="F120" s="90"/>
      <c r="G120" s="15"/>
      <c r="H120" s="15"/>
      <c r="I120" s="15"/>
      <c r="J120" s="15"/>
      <c r="K120" s="107"/>
      <c r="L120" s="87"/>
      <c r="M120" s="62"/>
      <c r="N120" s="208"/>
      <c r="O120" s="62"/>
      <c r="P120" s="62"/>
      <c r="Q120" s="62"/>
      <c r="R120" s="108"/>
      <c r="S120" s="108"/>
      <c r="T120" s="108"/>
      <c r="U120" s="108"/>
      <c r="V120" s="109"/>
      <c r="X120" s="5"/>
      <c r="Z120" s="5"/>
    </row>
    <row r="121" spans="1:26" ht="13.5" customHeight="1" thickBot="1">
      <c r="A121" s="110"/>
      <c r="B121" s="111"/>
      <c r="C121" s="111"/>
      <c r="D121" s="112"/>
      <c r="E121" s="113"/>
      <c r="F121" s="114"/>
      <c r="G121" s="115"/>
      <c r="H121" s="115"/>
      <c r="I121" s="115"/>
      <c r="J121" s="115"/>
      <c r="K121" s="116">
        <f>SUM(K104:K120)</f>
        <v>44308.63</v>
      </c>
      <c r="L121" s="117">
        <f>SUM(L104:L120)</f>
        <v>44308.63</v>
      </c>
      <c r="M121" s="118"/>
      <c r="N121" s="209"/>
      <c r="O121" s="118"/>
      <c r="P121" s="118"/>
      <c r="Q121" s="118"/>
      <c r="R121" s="119"/>
      <c r="S121" s="119"/>
      <c r="T121" s="119"/>
      <c r="U121" s="119"/>
      <c r="V121" s="120"/>
      <c r="X121" s="5"/>
      <c r="Z121" s="5"/>
    </row>
    <row r="122" spans="1:26" ht="13.5" customHeight="1" thickBot="1">
      <c r="A122" s="68"/>
      <c r="B122" s="64"/>
      <c r="C122" s="64"/>
      <c r="D122" s="64"/>
      <c r="E122" s="59"/>
      <c r="F122" s="59"/>
      <c r="G122" s="121"/>
      <c r="H122" s="121"/>
      <c r="I122" s="121"/>
      <c r="J122" s="121"/>
      <c r="K122" s="122"/>
      <c r="L122" s="123"/>
      <c r="M122" s="123"/>
      <c r="N122" s="104"/>
      <c r="O122" s="123"/>
      <c r="P122" s="123"/>
      <c r="Q122" s="123"/>
      <c r="R122" s="106"/>
      <c r="S122" s="106"/>
      <c r="T122" s="106"/>
      <c r="U122" s="106"/>
      <c r="V122" s="124"/>
      <c r="X122" s="5"/>
      <c r="Z122" s="5"/>
    </row>
    <row r="123" spans="1:26" ht="16.5" customHeight="1">
      <c r="A123" s="1" t="s">
        <v>0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"/>
      <c r="X123" s="5"/>
      <c r="Z123" s="5"/>
    </row>
    <row r="124" spans="1:26" ht="16.5" customHeight="1">
      <c r="A124" s="6" t="s">
        <v>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  <c r="X124" s="5"/>
      <c r="Z124" s="5"/>
    </row>
    <row r="125" spans="1:26" ht="16.5" customHeight="1">
      <c r="A125" s="9" t="s">
        <v>104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  <c r="X125" s="5"/>
      <c r="Z125" s="5"/>
    </row>
    <row r="126" spans="1:26" ht="16.5" customHeight="1">
      <c r="A126" s="12" t="str">
        <f>A94</f>
        <v>July 1-15,2026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4"/>
      <c r="X126" s="5"/>
      <c r="Z126" s="5"/>
    </row>
    <row r="127" spans="1:26" ht="16.5" customHeight="1" thickBot="1">
      <c r="A127" s="16" t="s">
        <v>3</v>
      </c>
      <c r="U127" s="21" t="s">
        <v>4</v>
      </c>
      <c r="V127" s="22"/>
      <c r="X127" s="5"/>
      <c r="Z127" s="5"/>
    </row>
    <row r="128" spans="1:26" s="28" customFormat="1" ht="45" customHeight="1">
      <c r="A128" s="23" t="s">
        <v>5</v>
      </c>
      <c r="B128" s="24" t="s">
        <v>6</v>
      </c>
      <c r="C128" s="24" t="s">
        <v>7</v>
      </c>
      <c r="D128" s="25" t="s">
        <v>8</v>
      </c>
      <c r="E128" s="25" t="s">
        <v>9</v>
      </c>
      <c r="F128" s="26" t="s">
        <v>10</v>
      </c>
      <c r="G128" s="26" t="s">
        <v>11</v>
      </c>
      <c r="H128" s="26" t="s">
        <v>136</v>
      </c>
      <c r="I128" s="26" t="s">
        <v>11</v>
      </c>
      <c r="J128" s="26"/>
      <c r="K128" s="26" t="s">
        <v>13</v>
      </c>
      <c r="L128" s="25" t="s">
        <v>17</v>
      </c>
      <c r="M128" s="25" t="s">
        <v>18</v>
      </c>
      <c r="N128" s="198" t="s">
        <v>15</v>
      </c>
      <c r="O128" s="25" t="s">
        <v>137</v>
      </c>
      <c r="P128" s="25" t="s">
        <v>133</v>
      </c>
      <c r="Q128" s="25" t="s">
        <v>16</v>
      </c>
      <c r="R128" s="25" t="s">
        <v>138</v>
      </c>
      <c r="S128" s="25" t="s">
        <v>14</v>
      </c>
      <c r="T128" s="25" t="s">
        <v>19</v>
      </c>
      <c r="U128" s="25" t="s">
        <v>20</v>
      </c>
      <c r="V128" s="27" t="s">
        <v>21</v>
      </c>
      <c r="W128" s="199">
        <v>22</v>
      </c>
      <c r="X128" s="199"/>
      <c r="Y128" s="199">
        <v>23</v>
      </c>
    </row>
    <row r="129" spans="1:53" ht="13.5" customHeight="1">
      <c r="A129" s="125">
        <v>1</v>
      </c>
      <c r="B129" s="158" t="s">
        <v>105</v>
      </c>
      <c r="C129" s="31" t="s">
        <v>24</v>
      </c>
      <c r="D129" s="35">
        <v>21186</v>
      </c>
      <c r="E129" s="149">
        <v>10</v>
      </c>
      <c r="F129" s="41">
        <v>921.13</v>
      </c>
      <c r="G129" s="35"/>
      <c r="H129" s="35"/>
      <c r="I129" s="35"/>
      <c r="J129" s="35"/>
      <c r="K129" s="36">
        <v>11129.62</v>
      </c>
      <c r="L129" s="35">
        <v>333.89</v>
      </c>
      <c r="M129" s="38">
        <v>222.59</v>
      </c>
      <c r="N129" s="172">
        <v>760</v>
      </c>
      <c r="O129" s="172">
        <v>200</v>
      </c>
      <c r="P129" s="38">
        <v>1059.3</v>
      </c>
      <c r="Q129" s="33"/>
      <c r="R129" s="38"/>
      <c r="S129" s="38"/>
      <c r="T129" s="38">
        <f t="shared" ref="T129:T140" si="17">L129+M129+N129+O129+P129+Q129+R129+S129</f>
        <v>2575.7799999999997</v>
      </c>
      <c r="U129" s="37">
        <f t="shared" ref="U129:U140" si="18">K129-T129</f>
        <v>8553.84</v>
      </c>
      <c r="V129" s="132"/>
      <c r="W129" s="40">
        <f t="shared" ref="W129:W139" si="19">D129/22</f>
        <v>963</v>
      </c>
      <c r="X129" s="200">
        <f t="shared" ref="X129:X139" si="20">W129/8/60</f>
        <v>2.0062500000000001</v>
      </c>
      <c r="Y129" s="40">
        <f t="shared" ref="Y129:Y139" si="21">D129/23</f>
        <v>921.13043478260875</v>
      </c>
      <c r="Z129" s="201">
        <f t="shared" ref="Z129:Z139" si="22">Y129/8/60</f>
        <v>1.9190217391304349</v>
      </c>
    </row>
    <row r="130" spans="1:53" ht="13.5" customHeight="1">
      <c r="A130" s="125">
        <v>2</v>
      </c>
      <c r="B130" s="31" t="s">
        <v>106</v>
      </c>
      <c r="C130" s="31" t="s">
        <v>24</v>
      </c>
      <c r="D130" s="35">
        <v>21186</v>
      </c>
      <c r="E130" s="149">
        <v>11</v>
      </c>
      <c r="F130" s="34">
        <v>921.13</v>
      </c>
      <c r="G130" s="35"/>
      <c r="H130" s="35"/>
      <c r="I130" s="35"/>
      <c r="J130" s="35"/>
      <c r="K130" s="36">
        <v>12058.43</v>
      </c>
      <c r="L130" s="35">
        <v>361.75</v>
      </c>
      <c r="M130" s="38">
        <v>241.17</v>
      </c>
      <c r="N130" s="172">
        <v>760</v>
      </c>
      <c r="O130" s="172">
        <v>200</v>
      </c>
      <c r="P130" s="38">
        <v>1059.3</v>
      </c>
      <c r="Q130" s="33"/>
      <c r="R130" s="38"/>
      <c r="S130" s="38"/>
      <c r="T130" s="38">
        <f t="shared" si="17"/>
        <v>2622.2200000000003</v>
      </c>
      <c r="U130" s="37">
        <f t="shared" si="18"/>
        <v>9436.2099999999991</v>
      </c>
      <c r="V130" s="132"/>
      <c r="W130" s="40">
        <f t="shared" si="19"/>
        <v>963</v>
      </c>
      <c r="X130" s="200">
        <f t="shared" si="20"/>
        <v>2.0062500000000001</v>
      </c>
      <c r="Y130" s="40">
        <f t="shared" si="21"/>
        <v>921.13043478260875</v>
      </c>
      <c r="Z130" s="201">
        <f t="shared" si="22"/>
        <v>1.9190217391304349</v>
      </c>
    </row>
    <row r="131" spans="1:53" ht="13.5" customHeight="1">
      <c r="A131" s="125">
        <v>3</v>
      </c>
      <c r="B131" s="31" t="s">
        <v>107</v>
      </c>
      <c r="C131" s="31" t="s">
        <v>24</v>
      </c>
      <c r="D131" s="35">
        <v>19773.599999999999</v>
      </c>
      <c r="E131" s="149">
        <v>11</v>
      </c>
      <c r="F131" s="34">
        <v>859.72</v>
      </c>
      <c r="G131" s="35"/>
      <c r="H131" s="35"/>
      <c r="I131" s="35"/>
      <c r="J131" s="35"/>
      <c r="K131" s="36">
        <v>11252.73</v>
      </c>
      <c r="L131" s="35">
        <v>337.58</v>
      </c>
      <c r="M131" s="38">
        <v>225.05</v>
      </c>
      <c r="N131" s="172">
        <v>760</v>
      </c>
      <c r="O131" s="172">
        <v>200</v>
      </c>
      <c r="P131" s="38">
        <v>988.68</v>
      </c>
      <c r="Q131" s="33"/>
      <c r="R131" s="38"/>
      <c r="S131" s="38"/>
      <c r="T131" s="38">
        <f t="shared" si="17"/>
        <v>2511.31</v>
      </c>
      <c r="U131" s="37">
        <f t="shared" si="18"/>
        <v>8741.42</v>
      </c>
      <c r="V131" s="132"/>
      <c r="W131" s="40">
        <f t="shared" si="19"/>
        <v>898.8</v>
      </c>
      <c r="X131" s="200">
        <f t="shared" si="20"/>
        <v>1.8724999999999998</v>
      </c>
      <c r="Y131" s="40">
        <f t="shared" si="21"/>
        <v>859.72173913043468</v>
      </c>
      <c r="Z131" s="201">
        <f t="shared" si="22"/>
        <v>1.7910869565217389</v>
      </c>
    </row>
    <row r="132" spans="1:53" ht="13.5" customHeight="1">
      <c r="A132" s="125">
        <v>4</v>
      </c>
      <c r="B132" s="31" t="s">
        <v>108</v>
      </c>
      <c r="C132" s="31" t="s">
        <v>24</v>
      </c>
      <c r="D132" s="35">
        <v>19773.599999999999</v>
      </c>
      <c r="E132" s="149">
        <v>11</v>
      </c>
      <c r="F132" s="34">
        <v>859.72</v>
      </c>
      <c r="G132" s="35"/>
      <c r="H132" s="35"/>
      <c r="I132" s="35"/>
      <c r="J132" s="35"/>
      <c r="K132" s="36">
        <v>11254.52</v>
      </c>
      <c r="L132" s="35">
        <v>337.64</v>
      </c>
      <c r="M132" s="38">
        <v>225.09</v>
      </c>
      <c r="N132" s="172">
        <v>760</v>
      </c>
      <c r="O132" s="172">
        <v>200</v>
      </c>
      <c r="P132" s="38">
        <v>988.68</v>
      </c>
      <c r="Q132" s="33"/>
      <c r="R132" s="38"/>
      <c r="S132" s="38"/>
      <c r="T132" s="38">
        <f t="shared" si="17"/>
        <v>2511.41</v>
      </c>
      <c r="U132" s="37">
        <f t="shared" si="18"/>
        <v>8743.11</v>
      </c>
      <c r="V132" s="132"/>
      <c r="W132" s="40">
        <f t="shared" si="19"/>
        <v>898.8</v>
      </c>
      <c r="X132" s="200">
        <f t="shared" si="20"/>
        <v>1.8724999999999998</v>
      </c>
      <c r="Y132" s="40">
        <f t="shared" si="21"/>
        <v>859.72173913043468</v>
      </c>
      <c r="Z132" s="201">
        <f t="shared" si="22"/>
        <v>1.7910869565217389</v>
      </c>
    </row>
    <row r="133" spans="1:53" ht="13.5" customHeight="1">
      <c r="A133" s="125">
        <v>5</v>
      </c>
      <c r="B133" s="31" t="s">
        <v>109</v>
      </c>
      <c r="C133" s="31" t="s">
        <v>24</v>
      </c>
      <c r="D133" s="35">
        <v>25300.04</v>
      </c>
      <c r="E133" s="149">
        <v>11</v>
      </c>
      <c r="F133" s="35">
        <v>1100</v>
      </c>
      <c r="G133" s="35"/>
      <c r="H133" s="35"/>
      <c r="I133" s="35"/>
      <c r="J133" s="35"/>
      <c r="K133" s="36">
        <v>14400</v>
      </c>
      <c r="L133" s="35">
        <v>432</v>
      </c>
      <c r="M133" s="38">
        <v>288</v>
      </c>
      <c r="N133" s="172">
        <v>760</v>
      </c>
      <c r="O133" s="172">
        <v>200</v>
      </c>
      <c r="P133" s="38">
        <v>1265</v>
      </c>
      <c r="Q133" s="33"/>
      <c r="R133" s="38"/>
      <c r="S133" s="38"/>
      <c r="T133" s="38">
        <f t="shared" si="17"/>
        <v>2945</v>
      </c>
      <c r="U133" s="37">
        <f t="shared" si="18"/>
        <v>11455</v>
      </c>
      <c r="V133" s="159"/>
      <c r="W133" s="40">
        <f t="shared" si="19"/>
        <v>1150.0018181818182</v>
      </c>
      <c r="X133" s="200">
        <f t="shared" si="20"/>
        <v>2.395837121212121</v>
      </c>
      <c r="Y133" s="40">
        <f t="shared" si="21"/>
        <v>1100.0017391304348</v>
      </c>
      <c r="Z133" s="201">
        <f t="shared" si="22"/>
        <v>2.2916702898550723</v>
      </c>
    </row>
    <row r="134" spans="1:53" s="67" customFormat="1" ht="13.5" customHeight="1">
      <c r="A134" s="125">
        <v>6</v>
      </c>
      <c r="B134" s="31" t="s">
        <v>110</v>
      </c>
      <c r="C134" s="31" t="s">
        <v>24</v>
      </c>
      <c r="D134" s="35">
        <v>25300.04</v>
      </c>
      <c r="E134" s="149">
        <v>11</v>
      </c>
      <c r="F134" s="35">
        <v>1100</v>
      </c>
      <c r="G134" s="35"/>
      <c r="H134" s="35"/>
      <c r="I134" s="35"/>
      <c r="J134" s="35"/>
      <c r="K134" s="36">
        <v>14276.34</v>
      </c>
      <c r="L134" s="35">
        <v>428.29</v>
      </c>
      <c r="M134" s="38">
        <v>285.52999999999997</v>
      </c>
      <c r="N134" s="172">
        <v>1575</v>
      </c>
      <c r="O134" s="172">
        <v>200</v>
      </c>
      <c r="P134" s="38">
        <v>1265</v>
      </c>
      <c r="Q134" s="38"/>
      <c r="R134" s="38"/>
      <c r="S134" s="38"/>
      <c r="T134" s="38">
        <f t="shared" si="17"/>
        <v>3753.8199999999997</v>
      </c>
      <c r="U134" s="37">
        <f t="shared" si="18"/>
        <v>10522.52</v>
      </c>
      <c r="V134" s="159"/>
      <c r="W134" s="40">
        <f t="shared" si="19"/>
        <v>1150.0018181818182</v>
      </c>
      <c r="X134" s="200">
        <f t="shared" si="20"/>
        <v>2.395837121212121</v>
      </c>
      <c r="Y134" s="40">
        <f t="shared" si="21"/>
        <v>1100.0017391304348</v>
      </c>
      <c r="Z134" s="201">
        <f t="shared" si="22"/>
        <v>2.2916702898550723</v>
      </c>
    </row>
    <row r="135" spans="1:53" ht="13.5" customHeight="1">
      <c r="A135" s="125">
        <v>7</v>
      </c>
      <c r="B135" s="31" t="s">
        <v>111</v>
      </c>
      <c r="C135" s="31" t="s">
        <v>24</v>
      </c>
      <c r="D135" s="35">
        <v>19773.599999999999</v>
      </c>
      <c r="E135" s="149">
        <v>11</v>
      </c>
      <c r="F135" s="34">
        <v>859.72</v>
      </c>
      <c r="G135" s="35"/>
      <c r="H135" s="35"/>
      <c r="I135" s="35"/>
      <c r="J135" s="35"/>
      <c r="K135" s="36">
        <v>10180.52</v>
      </c>
      <c r="L135" s="35">
        <v>305.42</v>
      </c>
      <c r="M135" s="38">
        <v>203.61</v>
      </c>
      <c r="N135" s="172">
        <v>760</v>
      </c>
      <c r="O135" s="172">
        <v>200</v>
      </c>
      <c r="P135" s="38">
        <v>988.68</v>
      </c>
      <c r="Q135" s="38"/>
      <c r="R135" s="38"/>
      <c r="S135" s="38"/>
      <c r="T135" s="38">
        <f t="shared" si="17"/>
        <v>2457.71</v>
      </c>
      <c r="U135" s="37">
        <f t="shared" si="18"/>
        <v>7722.81</v>
      </c>
      <c r="V135" s="159"/>
      <c r="W135" s="40">
        <f t="shared" si="19"/>
        <v>898.8</v>
      </c>
      <c r="X135" s="200">
        <f t="shared" si="20"/>
        <v>1.8724999999999998</v>
      </c>
      <c r="Y135" s="40">
        <f t="shared" si="21"/>
        <v>859.72173913043468</v>
      </c>
      <c r="Z135" s="201">
        <f t="shared" si="22"/>
        <v>1.7910869565217389</v>
      </c>
    </row>
    <row r="136" spans="1:53" ht="13.5" customHeight="1">
      <c r="A136" s="125">
        <v>8</v>
      </c>
      <c r="B136" s="31" t="s">
        <v>112</v>
      </c>
      <c r="C136" s="31" t="s">
        <v>24</v>
      </c>
      <c r="D136" s="35">
        <v>19773.599999999999</v>
      </c>
      <c r="E136" s="149">
        <v>9</v>
      </c>
      <c r="F136" s="34">
        <v>859.72</v>
      </c>
      <c r="G136" s="35"/>
      <c r="H136" s="35"/>
      <c r="I136" s="35"/>
      <c r="J136" s="35"/>
      <c r="K136" s="36">
        <v>9535.08</v>
      </c>
      <c r="L136" s="35">
        <v>286.05</v>
      </c>
      <c r="M136" s="38">
        <v>190.7</v>
      </c>
      <c r="N136" s="172">
        <v>760</v>
      </c>
      <c r="O136" s="172">
        <v>200</v>
      </c>
      <c r="P136" s="38">
        <v>988.68</v>
      </c>
      <c r="Q136" s="38"/>
      <c r="R136" s="38"/>
      <c r="S136" s="38"/>
      <c r="T136" s="38">
        <f t="shared" si="17"/>
        <v>2425.4299999999998</v>
      </c>
      <c r="U136" s="37">
        <f t="shared" si="18"/>
        <v>7109.65</v>
      </c>
      <c r="V136" s="132"/>
      <c r="W136" s="40">
        <f t="shared" si="19"/>
        <v>898.8</v>
      </c>
      <c r="X136" s="200">
        <f t="shared" si="20"/>
        <v>1.8724999999999998</v>
      </c>
      <c r="Y136" s="40">
        <f t="shared" si="21"/>
        <v>859.72173913043468</v>
      </c>
      <c r="Z136" s="201">
        <f t="shared" si="22"/>
        <v>1.7910869565217389</v>
      </c>
    </row>
    <row r="137" spans="1:53" ht="13.5" customHeight="1">
      <c r="A137" s="125">
        <v>9</v>
      </c>
      <c r="B137" s="31" t="s">
        <v>113</v>
      </c>
      <c r="C137" s="31" t="s">
        <v>24</v>
      </c>
      <c r="D137" s="35">
        <v>21186</v>
      </c>
      <c r="E137" s="149">
        <v>11</v>
      </c>
      <c r="F137" s="41">
        <v>921.13</v>
      </c>
      <c r="G137" s="35"/>
      <c r="H137" s="35"/>
      <c r="I137" s="35"/>
      <c r="J137" s="35"/>
      <c r="K137" s="36">
        <v>12058.43</v>
      </c>
      <c r="L137" s="35">
        <v>361.75</v>
      </c>
      <c r="M137" s="38">
        <v>241.17</v>
      </c>
      <c r="N137" s="214">
        <v>750</v>
      </c>
      <c r="O137" s="172">
        <v>200</v>
      </c>
      <c r="P137" s="38">
        <v>1059.3</v>
      </c>
      <c r="Q137" s="38"/>
      <c r="R137" s="38"/>
      <c r="S137" s="38"/>
      <c r="T137" s="38">
        <f t="shared" si="17"/>
        <v>2612.2200000000003</v>
      </c>
      <c r="U137" s="37">
        <f t="shared" si="18"/>
        <v>9446.2099999999991</v>
      </c>
      <c r="V137" s="132"/>
      <c r="W137" s="40">
        <f t="shared" si="19"/>
        <v>963</v>
      </c>
      <c r="X137" s="200">
        <f t="shared" si="20"/>
        <v>2.0062500000000001</v>
      </c>
      <c r="Y137" s="40">
        <f t="shared" si="21"/>
        <v>921.13043478260875</v>
      </c>
      <c r="Z137" s="201">
        <f t="shared" si="22"/>
        <v>1.9190217391304349</v>
      </c>
    </row>
    <row r="138" spans="1:53" ht="13.5" customHeight="1">
      <c r="A138" s="125">
        <v>10</v>
      </c>
      <c r="B138" s="31" t="s">
        <v>114</v>
      </c>
      <c r="C138" s="31" t="s">
        <v>24</v>
      </c>
      <c r="D138" s="35">
        <v>21186</v>
      </c>
      <c r="E138" s="149">
        <v>11</v>
      </c>
      <c r="F138" s="41">
        <v>921.13</v>
      </c>
      <c r="G138" s="35"/>
      <c r="H138" s="35"/>
      <c r="I138" s="35"/>
      <c r="J138" s="35"/>
      <c r="K138" s="36">
        <v>11592.44</v>
      </c>
      <c r="L138" s="35"/>
      <c r="M138" s="38"/>
      <c r="N138" s="215">
        <v>750</v>
      </c>
      <c r="O138" s="210">
        <v>200</v>
      </c>
      <c r="P138" s="38">
        <v>1059.3</v>
      </c>
      <c r="Q138" s="35"/>
      <c r="R138" s="38"/>
      <c r="S138" s="38"/>
      <c r="T138" s="38">
        <f t="shared" si="17"/>
        <v>2009.3</v>
      </c>
      <c r="U138" s="37">
        <f t="shared" si="18"/>
        <v>9583.1400000000012</v>
      </c>
      <c r="V138" s="39" t="s">
        <v>25</v>
      </c>
      <c r="W138" s="40">
        <f t="shared" si="19"/>
        <v>963</v>
      </c>
      <c r="X138" s="200">
        <f t="shared" si="20"/>
        <v>2.0062500000000001</v>
      </c>
      <c r="Y138" s="40">
        <f t="shared" si="21"/>
        <v>921.13043478260875</v>
      </c>
      <c r="Z138" s="201">
        <f t="shared" si="22"/>
        <v>1.9190217391304349</v>
      </c>
    </row>
    <row r="139" spans="1:53" ht="13.5" customHeight="1">
      <c r="A139" s="125">
        <v>11</v>
      </c>
      <c r="B139" s="31" t="s">
        <v>115</v>
      </c>
      <c r="C139" s="31" t="s">
        <v>24</v>
      </c>
      <c r="D139" s="35">
        <v>21186</v>
      </c>
      <c r="E139" s="149">
        <v>11</v>
      </c>
      <c r="F139" s="41">
        <v>921.13</v>
      </c>
      <c r="G139" s="35"/>
      <c r="H139" s="35"/>
      <c r="I139" s="35"/>
      <c r="J139" s="35"/>
      <c r="K139" s="36">
        <v>12058.43</v>
      </c>
      <c r="L139" s="35"/>
      <c r="M139" s="38"/>
      <c r="N139" s="172">
        <v>760</v>
      </c>
      <c r="O139" s="172">
        <v>200</v>
      </c>
      <c r="P139" s="38">
        <v>1059.3</v>
      </c>
      <c r="Q139" s="33"/>
      <c r="R139" s="38"/>
      <c r="S139" s="38"/>
      <c r="T139" s="38">
        <f t="shared" si="17"/>
        <v>2019.3</v>
      </c>
      <c r="U139" s="37">
        <f t="shared" si="18"/>
        <v>10039.130000000001</v>
      </c>
      <c r="V139" s="39" t="s">
        <v>25</v>
      </c>
      <c r="W139" s="40">
        <f t="shared" si="19"/>
        <v>963</v>
      </c>
      <c r="X139" s="200">
        <f t="shared" si="20"/>
        <v>2.0062500000000001</v>
      </c>
      <c r="Y139" s="40">
        <f t="shared" si="21"/>
        <v>921.13043478260875</v>
      </c>
      <c r="Z139" s="201">
        <f t="shared" si="22"/>
        <v>1.9190217391304349</v>
      </c>
    </row>
    <row r="140" spans="1:53" ht="13.5" customHeight="1">
      <c r="A140" s="125">
        <v>12</v>
      </c>
      <c r="B140" s="45" t="s">
        <v>116</v>
      </c>
      <c r="C140" s="31" t="s">
        <v>24</v>
      </c>
      <c r="D140" s="35">
        <v>19773.599999999999</v>
      </c>
      <c r="E140" s="160">
        <v>11</v>
      </c>
      <c r="F140" s="34">
        <v>859.72</v>
      </c>
      <c r="G140" s="46"/>
      <c r="H140" s="46"/>
      <c r="I140" s="46"/>
      <c r="J140" s="46"/>
      <c r="K140" s="36">
        <v>11008.56</v>
      </c>
      <c r="L140" s="35">
        <v>330.26</v>
      </c>
      <c r="M140" s="38">
        <v>220.17</v>
      </c>
      <c r="N140" s="203">
        <v>760</v>
      </c>
      <c r="O140" s="203">
        <v>200</v>
      </c>
      <c r="P140" s="38">
        <v>988.68</v>
      </c>
      <c r="Q140" s="134"/>
      <c r="R140" s="38"/>
      <c r="S140" s="38"/>
      <c r="T140" s="38">
        <f t="shared" si="17"/>
        <v>2499.1099999999997</v>
      </c>
      <c r="U140" s="37">
        <f t="shared" si="18"/>
        <v>8509.4500000000007</v>
      </c>
      <c r="V140" s="161"/>
      <c r="W140" s="40">
        <v>898.8</v>
      </c>
      <c r="X140" s="200">
        <v>1.87</v>
      </c>
      <c r="Y140" s="40">
        <v>859.72</v>
      </c>
      <c r="Z140" s="201">
        <v>1.79</v>
      </c>
    </row>
    <row r="141" spans="1:53" s="62" customFormat="1" ht="15" customHeight="1" thickBot="1">
      <c r="A141" s="136"/>
      <c r="B141" s="137"/>
      <c r="C141" s="138"/>
      <c r="D141" s="138"/>
      <c r="E141" s="138"/>
      <c r="F141" s="139"/>
      <c r="G141" s="156"/>
      <c r="H141" s="156"/>
      <c r="I141" s="156"/>
      <c r="J141" s="156"/>
      <c r="K141" s="156">
        <f>SUM(K129:K140)</f>
        <v>140805.1</v>
      </c>
      <c r="L141" s="156">
        <f t="shared" ref="L141:T141" si="23">SUM(L129:L140)</f>
        <v>3514.63</v>
      </c>
      <c r="M141" s="156">
        <f t="shared" si="23"/>
        <v>2343.08</v>
      </c>
      <c r="N141" s="156">
        <f t="shared" si="23"/>
        <v>9915</v>
      </c>
      <c r="O141" s="156">
        <f t="shared" si="23"/>
        <v>2400</v>
      </c>
      <c r="P141" s="156">
        <f t="shared" si="23"/>
        <v>12769.899999999998</v>
      </c>
      <c r="Q141" s="156">
        <f t="shared" si="23"/>
        <v>0</v>
      </c>
      <c r="R141" s="156">
        <f t="shared" si="23"/>
        <v>0</v>
      </c>
      <c r="S141" s="156">
        <f t="shared" si="23"/>
        <v>0</v>
      </c>
      <c r="T141" s="156">
        <f t="shared" si="23"/>
        <v>30942.61</v>
      </c>
      <c r="U141" s="156">
        <f>SUM(U129:U140)</f>
        <v>109862.48999999999</v>
      </c>
      <c r="V141" s="162"/>
    </row>
    <row r="142" spans="1:53" s="67" customFormat="1" ht="13.5" customHeight="1" thickTop="1">
      <c r="A142" s="57" t="s">
        <v>47</v>
      </c>
      <c r="B142" s="58"/>
      <c r="C142" s="58"/>
      <c r="D142" s="58"/>
      <c r="E142" s="59"/>
      <c r="F142" s="60" t="s">
        <v>48</v>
      </c>
      <c r="G142" s="59"/>
      <c r="H142" s="59"/>
      <c r="I142" s="59"/>
      <c r="J142" s="59"/>
      <c r="K142" s="61" t="s">
        <v>49</v>
      </c>
      <c r="L142" s="61" t="s">
        <v>50</v>
      </c>
      <c r="M142" s="62" t="s">
        <v>51</v>
      </c>
      <c r="N142" s="204"/>
      <c r="O142" s="63"/>
      <c r="P142" s="63"/>
      <c r="Q142" s="63"/>
      <c r="R142" s="62"/>
      <c r="S142" s="62"/>
      <c r="T142" s="64"/>
      <c r="U142" s="65">
        <f>U141</f>
        <v>109862.48999999999</v>
      </c>
      <c r="V142" s="66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</row>
    <row r="143" spans="1:53" ht="13.5" customHeight="1">
      <c r="A143" s="57"/>
      <c r="B143" s="58"/>
      <c r="C143" s="58"/>
      <c r="D143" s="58"/>
      <c r="E143" s="59"/>
      <c r="F143" s="68" t="s">
        <v>52</v>
      </c>
      <c r="G143" s="58" t="s">
        <v>53</v>
      </c>
      <c r="H143" s="58"/>
      <c r="I143" s="58"/>
      <c r="J143" s="58"/>
      <c r="K143" s="69">
        <f>K141</f>
        <v>140805.1</v>
      </c>
      <c r="L143" s="70">
        <v>0</v>
      </c>
      <c r="M143" s="71"/>
      <c r="N143" s="106"/>
      <c r="O143" s="71"/>
      <c r="P143" s="71"/>
      <c r="Q143" s="71"/>
      <c r="R143" s="62"/>
      <c r="S143" s="62"/>
      <c r="T143" s="59"/>
      <c r="U143" s="59"/>
      <c r="V143" s="72"/>
      <c r="X143" s="5"/>
      <c r="Z143" s="5"/>
    </row>
    <row r="144" spans="1:53" ht="13.5" customHeight="1">
      <c r="A144" s="73"/>
      <c r="B144" s="74"/>
      <c r="C144" s="64"/>
      <c r="D144" s="64"/>
      <c r="E144" s="59"/>
      <c r="F144" s="68" t="s">
        <v>54</v>
      </c>
      <c r="G144" s="59" t="s">
        <v>55</v>
      </c>
      <c r="H144" s="59"/>
      <c r="I144" s="59"/>
      <c r="J144" s="59"/>
      <c r="K144" s="69"/>
      <c r="L144" s="75">
        <f>L141+M141</f>
        <v>5857.71</v>
      </c>
      <c r="M144" s="76"/>
      <c r="N144" s="205"/>
      <c r="O144" s="76"/>
      <c r="P144" s="76"/>
      <c r="Q144" s="76"/>
      <c r="R144" s="62"/>
      <c r="S144" s="62"/>
      <c r="T144" s="77"/>
      <c r="U144" s="59"/>
      <c r="V144" s="72"/>
      <c r="X144" s="5"/>
      <c r="Z144" s="5"/>
    </row>
    <row r="145" spans="1:26" ht="13.5" customHeight="1">
      <c r="A145" s="78" t="s">
        <v>56</v>
      </c>
      <c r="B145" s="79"/>
      <c r="C145" s="79"/>
      <c r="D145" s="79"/>
      <c r="E145" s="80"/>
      <c r="F145" s="68" t="s">
        <v>57</v>
      </c>
      <c r="G145" s="59" t="s">
        <v>58</v>
      </c>
      <c r="H145" s="59"/>
      <c r="I145" s="59"/>
      <c r="J145" s="59"/>
      <c r="K145" s="81"/>
      <c r="L145" s="75"/>
      <c r="M145" s="76"/>
      <c r="N145" s="82" t="s">
        <v>59</v>
      </c>
      <c r="O145" s="82"/>
      <c r="P145" s="82"/>
      <c r="Q145" s="82"/>
      <c r="R145" s="82"/>
      <c r="S145" s="82"/>
      <c r="T145" s="82"/>
      <c r="U145" s="82"/>
      <c r="V145" s="83"/>
      <c r="X145" s="5"/>
      <c r="Z145" s="5"/>
    </row>
    <row r="146" spans="1:26" ht="13.5" customHeight="1">
      <c r="A146" s="84" t="s">
        <v>60</v>
      </c>
      <c r="B146" s="85"/>
      <c r="C146" s="85"/>
      <c r="D146" s="85"/>
      <c r="E146" s="86"/>
      <c r="F146" s="68" t="s">
        <v>57</v>
      </c>
      <c r="G146" s="59" t="s">
        <v>99</v>
      </c>
      <c r="H146" s="59"/>
      <c r="I146" s="59"/>
      <c r="J146" s="59"/>
      <c r="K146" s="87"/>
      <c r="L146" s="75"/>
      <c r="M146" s="76"/>
      <c r="N146" s="85" t="s">
        <v>62</v>
      </c>
      <c r="O146" s="85"/>
      <c r="P146" s="85"/>
      <c r="Q146" s="85"/>
      <c r="R146" s="85"/>
      <c r="S146" s="85"/>
      <c r="T146" s="85"/>
      <c r="U146" s="85"/>
      <c r="V146" s="88"/>
      <c r="X146" s="5"/>
      <c r="Z146" s="5"/>
    </row>
    <row r="147" spans="1:26" ht="13.5" customHeight="1">
      <c r="A147" s="73"/>
      <c r="B147" s="64"/>
      <c r="C147" s="64"/>
      <c r="D147" s="64"/>
      <c r="E147" s="59"/>
      <c r="F147" s="68" t="s">
        <v>57</v>
      </c>
      <c r="G147" s="59" t="s">
        <v>63</v>
      </c>
      <c r="H147" s="59"/>
      <c r="I147" s="59"/>
      <c r="J147" s="59"/>
      <c r="K147" s="87"/>
      <c r="L147" s="75">
        <f>N141</f>
        <v>9915</v>
      </c>
      <c r="M147" s="76"/>
      <c r="N147" s="205"/>
      <c r="O147" s="76"/>
      <c r="P147" s="76"/>
      <c r="Q147" s="76"/>
      <c r="R147" s="64"/>
      <c r="S147" s="64"/>
      <c r="T147" s="59"/>
      <c r="U147" s="59"/>
      <c r="V147" s="72"/>
      <c r="X147" s="5"/>
      <c r="Z147" s="5"/>
    </row>
    <row r="148" spans="1:26" ht="13.5" customHeight="1">
      <c r="A148" s="89"/>
      <c r="B148" s="74"/>
      <c r="C148" s="58"/>
      <c r="D148" s="58"/>
      <c r="E148" s="59"/>
      <c r="F148" s="68" t="s">
        <v>140</v>
      </c>
      <c r="G148" s="206" t="s">
        <v>141</v>
      </c>
      <c r="H148" s="59"/>
      <c r="I148" s="59"/>
      <c r="J148" s="59"/>
      <c r="K148" s="81"/>
      <c r="L148" s="75">
        <f>O141</f>
        <v>2400</v>
      </c>
      <c r="M148" s="76"/>
      <c r="N148" s="205"/>
      <c r="O148" s="76"/>
      <c r="P148" s="76"/>
      <c r="Q148" s="76"/>
      <c r="R148" s="64"/>
      <c r="S148" s="64"/>
      <c r="T148" s="64"/>
      <c r="U148" s="64"/>
      <c r="V148" s="66"/>
      <c r="X148" s="5"/>
      <c r="Z148" s="5"/>
    </row>
    <row r="149" spans="1:26" ht="13.5" customHeight="1">
      <c r="A149" s="89"/>
      <c r="B149" s="74"/>
      <c r="C149" s="58"/>
      <c r="D149" s="58"/>
      <c r="E149" s="59"/>
      <c r="F149" s="68" t="s">
        <v>142</v>
      </c>
      <c r="G149" s="206" t="s">
        <v>143</v>
      </c>
      <c r="H149" s="59"/>
      <c r="I149" s="59"/>
      <c r="J149" s="59"/>
      <c r="K149" s="81"/>
      <c r="L149" s="75">
        <f>P141</f>
        <v>12769.899999999998</v>
      </c>
      <c r="M149" s="76"/>
      <c r="N149" s="205"/>
      <c r="O149" s="76"/>
      <c r="P149" s="76"/>
      <c r="Q149" s="76"/>
      <c r="R149" s="64"/>
      <c r="S149" s="64"/>
      <c r="T149" s="64"/>
      <c r="U149" s="64"/>
      <c r="V149" s="66"/>
      <c r="X149" s="5"/>
      <c r="Z149" s="5"/>
    </row>
    <row r="150" spans="1:26" ht="13.5" customHeight="1">
      <c r="A150" s="73" t="s">
        <v>65</v>
      </c>
      <c r="B150" s="64"/>
      <c r="C150" s="58"/>
      <c r="D150" s="58"/>
      <c r="E150" s="59"/>
      <c r="F150" s="68" t="s">
        <v>66</v>
      </c>
      <c r="G150" s="59" t="s">
        <v>67</v>
      </c>
      <c r="H150" s="59"/>
      <c r="I150" s="59"/>
      <c r="J150" s="59"/>
      <c r="K150" s="81"/>
      <c r="L150" s="75">
        <f>U142</f>
        <v>109862.48999999999</v>
      </c>
      <c r="M150" s="76"/>
      <c r="N150" s="205"/>
      <c r="O150" s="76"/>
      <c r="P150" s="76"/>
      <c r="Q150" s="76"/>
      <c r="R150" s="64"/>
      <c r="S150" s="64"/>
      <c r="T150" s="64"/>
      <c r="U150" s="64"/>
      <c r="V150" s="66"/>
      <c r="X150" s="5"/>
      <c r="Y150" s="5" t="s">
        <v>68</v>
      </c>
      <c r="Z150" s="5"/>
    </row>
    <row r="151" spans="1:26" ht="13.5" customHeight="1">
      <c r="A151" s="73"/>
      <c r="B151" s="64"/>
      <c r="C151" s="58"/>
      <c r="D151" s="58"/>
      <c r="E151" s="59"/>
      <c r="F151" s="68"/>
      <c r="G151" s="59"/>
      <c r="H151" s="59"/>
      <c r="I151" s="59"/>
      <c r="J151" s="59"/>
      <c r="K151" s="81"/>
      <c r="L151" s="75"/>
      <c r="M151" s="76"/>
      <c r="N151" s="205"/>
      <c r="O151" s="76"/>
      <c r="P151" s="76"/>
      <c r="Q151" s="76"/>
      <c r="R151" s="64"/>
      <c r="S151" s="64"/>
      <c r="T151" s="64"/>
      <c r="U151" s="64"/>
      <c r="V151" s="66"/>
      <c r="X151" s="5"/>
      <c r="Z151" s="5"/>
    </row>
    <row r="152" spans="1:26" ht="13.5" customHeight="1">
      <c r="A152" s="73"/>
      <c r="B152" s="58"/>
      <c r="C152" s="58"/>
      <c r="D152" s="58"/>
      <c r="E152" s="59"/>
      <c r="F152" s="90"/>
      <c r="G152" s="59"/>
      <c r="H152" s="59"/>
      <c r="I152" s="59"/>
      <c r="J152" s="59"/>
      <c r="K152" s="81"/>
      <c r="L152" s="75"/>
      <c r="M152" s="76"/>
      <c r="N152" s="205"/>
      <c r="O152" s="76"/>
      <c r="P152" s="76"/>
      <c r="Q152" s="76"/>
      <c r="R152" s="64"/>
      <c r="S152" s="64"/>
      <c r="T152" s="64"/>
      <c r="U152" s="64"/>
      <c r="V152" s="66"/>
      <c r="X152" s="5"/>
      <c r="Z152" s="5"/>
    </row>
    <row r="153" spans="1:26" ht="13.5" customHeight="1">
      <c r="A153" s="91" t="s">
        <v>69</v>
      </c>
      <c r="B153" s="82"/>
      <c r="C153" s="82"/>
      <c r="D153" s="82"/>
      <c r="E153" s="92"/>
      <c r="F153" s="90"/>
      <c r="G153" s="59"/>
      <c r="H153" s="59"/>
      <c r="I153" s="59"/>
      <c r="J153" s="59"/>
      <c r="K153" s="81"/>
      <c r="L153" s="75"/>
      <c r="M153" s="93" t="s">
        <v>70</v>
      </c>
      <c r="N153" s="93"/>
      <c r="O153" s="93"/>
      <c r="P153" s="93"/>
      <c r="Q153" s="93"/>
      <c r="R153" s="93"/>
      <c r="S153" s="93"/>
      <c r="T153" s="93"/>
      <c r="U153" s="93"/>
      <c r="V153" s="94"/>
      <c r="X153" s="5"/>
      <c r="Z153" s="5"/>
    </row>
    <row r="154" spans="1:26" ht="13.5" customHeight="1">
      <c r="A154" s="84" t="s">
        <v>71</v>
      </c>
      <c r="B154" s="85"/>
      <c r="C154" s="85"/>
      <c r="D154" s="85"/>
      <c r="E154" s="86"/>
      <c r="F154" s="90"/>
      <c r="G154" s="59"/>
      <c r="H154" s="59"/>
      <c r="I154" s="59"/>
      <c r="J154" s="59"/>
      <c r="K154" s="87"/>
      <c r="L154" s="75"/>
      <c r="M154" s="93"/>
      <c r="N154" s="93"/>
      <c r="O154" s="93"/>
      <c r="P154" s="93"/>
      <c r="Q154" s="93"/>
      <c r="R154" s="93"/>
      <c r="S154" s="93"/>
      <c r="T154" s="93"/>
      <c r="U154" s="93"/>
      <c r="V154" s="94"/>
      <c r="X154" s="5"/>
      <c r="Z154" s="5"/>
    </row>
    <row r="155" spans="1:26" ht="13.5" customHeight="1">
      <c r="A155" s="95"/>
      <c r="B155" s="96"/>
      <c r="C155" s="96"/>
      <c r="D155" s="64"/>
      <c r="E155" s="59"/>
      <c r="F155" s="90"/>
      <c r="G155" s="59"/>
      <c r="H155" s="59"/>
      <c r="I155" s="59"/>
      <c r="J155" s="59"/>
      <c r="K155" s="87"/>
      <c r="L155" s="75"/>
      <c r="M155" s="76"/>
      <c r="N155" s="205"/>
      <c r="O155" s="76"/>
      <c r="P155" s="76"/>
      <c r="Q155" s="76"/>
      <c r="R155" s="97"/>
      <c r="S155" s="97"/>
      <c r="T155" s="97"/>
      <c r="U155" s="97"/>
      <c r="V155" s="98"/>
      <c r="X155" s="5"/>
      <c r="Z155" s="5"/>
    </row>
    <row r="156" spans="1:26" ht="13.5" customHeight="1">
      <c r="A156" s="73" t="s">
        <v>72</v>
      </c>
      <c r="B156" s="58"/>
      <c r="C156" s="58"/>
      <c r="D156" s="99">
        <f>K141</f>
        <v>140805.1</v>
      </c>
      <c r="E156" s="100"/>
      <c r="F156" s="90"/>
      <c r="G156" s="64"/>
      <c r="H156" s="64"/>
      <c r="I156" s="64"/>
      <c r="J156" s="64"/>
      <c r="K156" s="87"/>
      <c r="L156" s="87"/>
      <c r="M156" s="59"/>
      <c r="N156" s="207"/>
      <c r="O156" s="59"/>
      <c r="P156" s="59"/>
      <c r="Q156" s="59"/>
      <c r="R156" s="101"/>
      <c r="S156" s="101"/>
      <c r="T156" s="101"/>
      <c r="U156" s="101"/>
      <c r="V156" s="98"/>
      <c r="X156" s="5"/>
      <c r="Z156" s="5"/>
    </row>
    <row r="157" spans="1:26" ht="13.5" customHeight="1">
      <c r="A157" s="73"/>
      <c r="B157" s="58"/>
      <c r="C157" s="58"/>
      <c r="D157" s="99"/>
      <c r="E157" s="100"/>
      <c r="F157" s="90"/>
      <c r="G157" s="64"/>
      <c r="H157" s="64"/>
      <c r="I157" s="64"/>
      <c r="J157" s="64"/>
      <c r="K157" s="87"/>
      <c r="L157" s="87"/>
      <c r="M157" s="59"/>
      <c r="N157" s="207"/>
      <c r="O157" s="59"/>
      <c r="P157" s="59"/>
      <c r="Q157" s="59"/>
      <c r="R157" s="102" t="s">
        <v>73</v>
      </c>
      <c r="S157" s="102"/>
      <c r="T157" s="102"/>
      <c r="U157" s="102"/>
      <c r="V157" s="103" t="s">
        <v>74</v>
      </c>
      <c r="X157" s="5"/>
      <c r="Z157" s="5"/>
    </row>
    <row r="158" spans="1:26" ht="13.5" customHeight="1">
      <c r="A158" s="91" t="s">
        <v>75</v>
      </c>
      <c r="B158" s="82"/>
      <c r="C158" s="82"/>
      <c r="D158" s="82"/>
      <c r="E158" s="92"/>
      <c r="F158" s="90"/>
      <c r="G158" s="64"/>
      <c r="H158" s="64"/>
      <c r="I158" s="64"/>
      <c r="J158" s="64"/>
      <c r="K158" s="87"/>
      <c r="L158" s="87"/>
      <c r="M158" s="59"/>
      <c r="N158" s="207"/>
      <c r="O158" s="59"/>
      <c r="P158" s="59"/>
      <c r="Q158" s="59"/>
      <c r="R158" s="85" t="s">
        <v>76</v>
      </c>
      <c r="S158" s="85"/>
      <c r="T158" s="85"/>
      <c r="U158" s="85"/>
      <c r="V158" s="105" t="s">
        <v>77</v>
      </c>
      <c r="X158" s="5"/>
      <c r="Z158" s="5"/>
    </row>
    <row r="159" spans="1:26" ht="13.5" customHeight="1">
      <c r="A159" s="84" t="s">
        <v>78</v>
      </c>
      <c r="B159" s="85"/>
      <c r="C159" s="85"/>
      <c r="D159" s="85"/>
      <c r="E159" s="85"/>
      <c r="F159" s="90"/>
      <c r="G159" s="15"/>
      <c r="H159" s="15"/>
      <c r="I159" s="15"/>
      <c r="J159" s="15"/>
      <c r="K159" s="107"/>
      <c r="L159" s="87"/>
      <c r="M159" s="62"/>
      <c r="N159" s="208"/>
      <c r="O159" s="62"/>
      <c r="P159" s="62"/>
      <c r="Q159" s="62"/>
      <c r="R159" s="108"/>
      <c r="S159" s="108"/>
      <c r="T159" s="108"/>
      <c r="U159" s="108"/>
      <c r="V159" s="109"/>
      <c r="X159" s="5"/>
      <c r="Z159" s="5"/>
    </row>
    <row r="160" spans="1:26" ht="13.5" customHeight="1" thickBot="1">
      <c r="A160" s="110"/>
      <c r="B160" s="111"/>
      <c r="C160" s="111"/>
      <c r="D160" s="112"/>
      <c r="E160" s="113"/>
      <c r="F160" s="114"/>
      <c r="G160" s="115"/>
      <c r="H160" s="115"/>
      <c r="I160" s="115"/>
      <c r="J160" s="115"/>
      <c r="K160" s="116">
        <f>SUM(K143:K159)</f>
        <v>140805.1</v>
      </c>
      <c r="L160" s="117">
        <f>SUM(L143:L159)</f>
        <v>140805.09999999998</v>
      </c>
      <c r="M160" s="118"/>
      <c r="N160" s="209"/>
      <c r="O160" s="118"/>
      <c r="P160" s="118"/>
      <c r="Q160" s="118"/>
      <c r="R160" s="119"/>
      <c r="S160" s="119"/>
      <c r="T160" s="119"/>
      <c r="U160" s="119"/>
      <c r="V160" s="120"/>
      <c r="X160" s="5"/>
      <c r="Z160" s="5"/>
    </row>
    <row r="161" spans="1:53" ht="13.5" customHeight="1" thickBot="1">
      <c r="A161" s="68"/>
      <c r="B161" s="64"/>
      <c r="C161" s="64"/>
      <c r="D161" s="64"/>
      <c r="E161" s="59"/>
      <c r="F161" s="59"/>
      <c r="G161" s="121"/>
      <c r="H161" s="121"/>
      <c r="I161" s="121"/>
      <c r="J161" s="121"/>
      <c r="K161" s="122"/>
      <c r="L161" s="123"/>
      <c r="M161" s="123"/>
      <c r="N161" s="104"/>
      <c r="O161" s="123"/>
      <c r="P161" s="123"/>
      <c r="Q161" s="123"/>
      <c r="R161" s="106"/>
      <c r="S161" s="106"/>
      <c r="T161" s="106"/>
      <c r="U161" s="106"/>
      <c r="V161" s="124"/>
      <c r="X161" s="5"/>
      <c r="Z161" s="5"/>
    </row>
    <row r="162" spans="1:53" ht="16.5" customHeight="1">
      <c r="A162" s="1" t="s">
        <v>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"/>
      <c r="X162" s="5"/>
      <c r="Z162" s="5"/>
    </row>
    <row r="163" spans="1:53" ht="16.5" customHeight="1">
      <c r="A163" s="6" t="s">
        <v>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8"/>
      <c r="X163" s="5"/>
      <c r="Z163" s="5"/>
    </row>
    <row r="164" spans="1:53" ht="16.5" customHeight="1">
      <c r="A164" s="9" t="s">
        <v>117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  <c r="X164" s="5"/>
      <c r="Z164" s="5"/>
    </row>
    <row r="165" spans="1:53" ht="16.5" customHeight="1">
      <c r="A165" s="12" t="str">
        <f>A126</f>
        <v>July 1-15,2026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4"/>
      <c r="X165" s="5"/>
      <c r="Z165" s="5"/>
    </row>
    <row r="166" spans="1:53" ht="16.5" customHeight="1" thickBot="1">
      <c r="A166" s="163" t="s">
        <v>3</v>
      </c>
      <c r="B166" s="164"/>
      <c r="C166" s="164"/>
      <c r="D166" s="165"/>
      <c r="E166" s="166"/>
      <c r="F166" s="165"/>
      <c r="G166" s="167"/>
      <c r="H166" s="168"/>
      <c r="I166" s="168"/>
      <c r="J166" s="168"/>
      <c r="K166" s="165"/>
      <c r="L166" s="165"/>
      <c r="M166" s="165"/>
      <c r="N166" s="216"/>
      <c r="O166" s="165"/>
      <c r="P166" s="165"/>
      <c r="Q166" s="165"/>
      <c r="R166" s="165"/>
      <c r="S166" s="165"/>
      <c r="T166" s="165"/>
      <c r="U166" s="169" t="s">
        <v>4</v>
      </c>
      <c r="V166" s="170"/>
      <c r="X166" s="5"/>
      <c r="Z166" s="5"/>
    </row>
    <row r="167" spans="1:53" s="28" customFormat="1" ht="45" customHeight="1">
      <c r="A167" s="23" t="s">
        <v>5</v>
      </c>
      <c r="B167" s="24" t="s">
        <v>6</v>
      </c>
      <c r="C167" s="24" t="s">
        <v>7</v>
      </c>
      <c r="D167" s="25" t="s">
        <v>8</v>
      </c>
      <c r="E167" s="25" t="s">
        <v>9</v>
      </c>
      <c r="F167" s="26" t="s">
        <v>10</v>
      </c>
      <c r="G167" s="26" t="s">
        <v>11</v>
      </c>
      <c r="H167" s="26" t="s">
        <v>136</v>
      </c>
      <c r="I167" s="26" t="s">
        <v>11</v>
      </c>
      <c r="J167" s="26"/>
      <c r="K167" s="26" t="s">
        <v>13</v>
      </c>
      <c r="L167" s="25" t="s">
        <v>17</v>
      </c>
      <c r="M167" s="25" t="s">
        <v>18</v>
      </c>
      <c r="N167" s="198" t="s">
        <v>15</v>
      </c>
      <c r="O167" s="25" t="s">
        <v>137</v>
      </c>
      <c r="P167" s="25" t="s">
        <v>133</v>
      </c>
      <c r="Q167" s="25" t="s">
        <v>16</v>
      </c>
      <c r="R167" s="25" t="s">
        <v>138</v>
      </c>
      <c r="S167" s="25" t="s">
        <v>14</v>
      </c>
      <c r="T167" s="25" t="s">
        <v>19</v>
      </c>
      <c r="U167" s="25" t="s">
        <v>20</v>
      </c>
      <c r="V167" s="27" t="s">
        <v>21</v>
      </c>
      <c r="W167" s="199">
        <v>22</v>
      </c>
      <c r="X167" s="199"/>
      <c r="Y167" s="199">
        <v>23</v>
      </c>
    </row>
    <row r="168" spans="1:53" s="28" customFormat="1" ht="15" customHeight="1">
      <c r="A168" s="171">
        <v>1</v>
      </c>
      <c r="B168" s="30" t="s">
        <v>162</v>
      </c>
      <c r="C168" s="31" t="s">
        <v>24</v>
      </c>
      <c r="D168" s="32">
        <v>18361.2</v>
      </c>
      <c r="E168" s="33">
        <v>11</v>
      </c>
      <c r="F168" s="35">
        <v>798.31</v>
      </c>
      <c r="G168" s="35"/>
      <c r="H168" s="36"/>
      <c r="I168" s="36"/>
      <c r="J168" s="36"/>
      <c r="K168" s="36">
        <v>10450.61</v>
      </c>
      <c r="L168" s="35">
        <v>313.52</v>
      </c>
      <c r="M168" s="38">
        <v>209.01</v>
      </c>
      <c r="N168" s="172">
        <v>760</v>
      </c>
      <c r="O168" s="172">
        <v>200</v>
      </c>
      <c r="P168" s="37">
        <v>918.06</v>
      </c>
      <c r="Q168" s="33"/>
      <c r="R168" s="38"/>
      <c r="S168" s="38"/>
      <c r="T168" s="38">
        <f>L168+M168+N168+O168+P168+Q168+R168+S168</f>
        <v>2400.59</v>
      </c>
      <c r="U168" s="37">
        <f>K168-T168</f>
        <v>8050.02</v>
      </c>
      <c r="V168" s="39"/>
      <c r="W168" s="40">
        <f>D168/22</f>
        <v>834.6</v>
      </c>
      <c r="X168" s="200">
        <f t="shared" ref="X168" si="24">W168/8/60</f>
        <v>1.73875</v>
      </c>
      <c r="Y168" s="40">
        <f>D168/23</f>
        <v>798.31304347826085</v>
      </c>
      <c r="Z168" s="201">
        <f t="shared" ref="Z168" si="25">Y168/8/60</f>
        <v>1.6631521739130435</v>
      </c>
    </row>
    <row r="169" spans="1:53" s="59" customFormat="1" ht="18" customHeight="1" thickBot="1">
      <c r="A169" s="151"/>
      <c r="B169" s="152"/>
      <c r="C169" s="153"/>
      <c r="D169" s="153"/>
      <c r="E169" s="153"/>
      <c r="F169" s="154"/>
      <c r="G169" s="156"/>
      <c r="H169" s="156"/>
      <c r="I169" s="156"/>
      <c r="J169" s="156"/>
      <c r="K169" s="156">
        <f>SUM(K168:K168)</f>
        <v>10450.61</v>
      </c>
      <c r="L169" s="156">
        <f t="shared" ref="L169:U169" si="26">SUM(L168:L168)</f>
        <v>313.52</v>
      </c>
      <c r="M169" s="156">
        <f t="shared" si="26"/>
        <v>209.01</v>
      </c>
      <c r="N169" s="156">
        <f t="shared" si="26"/>
        <v>760</v>
      </c>
      <c r="O169" s="156">
        <f t="shared" si="26"/>
        <v>200</v>
      </c>
      <c r="P169" s="156">
        <f t="shared" si="26"/>
        <v>918.06</v>
      </c>
      <c r="Q169" s="156">
        <f t="shared" si="26"/>
        <v>0</v>
      </c>
      <c r="R169" s="156">
        <f t="shared" si="26"/>
        <v>0</v>
      </c>
      <c r="S169" s="156">
        <f t="shared" si="26"/>
        <v>0</v>
      </c>
      <c r="T169" s="156">
        <f t="shared" si="26"/>
        <v>2400.59</v>
      </c>
      <c r="U169" s="156">
        <f t="shared" si="26"/>
        <v>8050.02</v>
      </c>
      <c r="V169" s="157"/>
    </row>
    <row r="170" spans="1:53" s="67" customFormat="1" ht="13.5" customHeight="1" thickTop="1">
      <c r="A170" s="57" t="s">
        <v>47</v>
      </c>
      <c r="B170" s="58"/>
      <c r="C170" s="58"/>
      <c r="D170" s="58"/>
      <c r="E170" s="59"/>
      <c r="F170" s="60" t="s">
        <v>48</v>
      </c>
      <c r="G170" s="59"/>
      <c r="H170" s="59"/>
      <c r="I170" s="59"/>
      <c r="J170" s="59"/>
      <c r="K170" s="61" t="s">
        <v>49</v>
      </c>
      <c r="L170" s="61" t="s">
        <v>50</v>
      </c>
      <c r="M170" s="62" t="s">
        <v>51</v>
      </c>
      <c r="N170" s="204"/>
      <c r="O170" s="63"/>
      <c r="P170" s="63"/>
      <c r="Q170" s="63"/>
      <c r="R170" s="62"/>
      <c r="S170" s="62"/>
      <c r="T170" s="64"/>
      <c r="U170" s="65">
        <f>U169</f>
        <v>8050.02</v>
      </c>
      <c r="V170" s="66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3" ht="13.5" customHeight="1">
      <c r="A171" s="57"/>
      <c r="B171" s="58"/>
      <c r="C171" s="58"/>
      <c r="D171" s="58"/>
      <c r="E171" s="59"/>
      <c r="F171" s="68" t="s">
        <v>52</v>
      </c>
      <c r="G171" s="58" t="s">
        <v>53</v>
      </c>
      <c r="H171" s="58"/>
      <c r="I171" s="58"/>
      <c r="J171" s="58"/>
      <c r="K171" s="69">
        <f>K169</f>
        <v>10450.61</v>
      </c>
      <c r="L171" s="70">
        <v>0</v>
      </c>
      <c r="M171" s="71"/>
      <c r="N171" s="106"/>
      <c r="O171" s="71"/>
      <c r="P171" s="71"/>
      <c r="Q171" s="71"/>
      <c r="R171" s="62"/>
      <c r="S171" s="62"/>
      <c r="T171" s="59"/>
      <c r="U171" s="59"/>
      <c r="V171" s="72"/>
      <c r="X171" s="5"/>
      <c r="Z171" s="5"/>
    </row>
    <row r="172" spans="1:53" ht="13.5" customHeight="1">
      <c r="A172" s="73"/>
      <c r="B172" s="74"/>
      <c r="C172" s="64"/>
      <c r="D172" s="64"/>
      <c r="E172" s="59"/>
      <c r="F172" s="68" t="s">
        <v>54</v>
      </c>
      <c r="G172" s="59" t="s">
        <v>55</v>
      </c>
      <c r="H172" s="59"/>
      <c r="I172" s="59"/>
      <c r="J172" s="59"/>
      <c r="K172" s="69"/>
      <c r="L172" s="75">
        <f>L169+M169</f>
        <v>522.53</v>
      </c>
      <c r="M172" s="76"/>
      <c r="N172" s="205"/>
      <c r="O172" s="76"/>
      <c r="P172" s="76"/>
      <c r="Q172" s="76"/>
      <c r="R172" s="62"/>
      <c r="S172" s="62"/>
      <c r="T172" s="77"/>
      <c r="U172" s="59"/>
      <c r="V172" s="72"/>
      <c r="X172" s="5"/>
      <c r="Z172" s="5"/>
    </row>
    <row r="173" spans="1:53" ht="13.5" customHeight="1">
      <c r="A173" s="78" t="s">
        <v>56</v>
      </c>
      <c r="B173" s="79"/>
      <c r="C173" s="79"/>
      <c r="D173" s="79"/>
      <c r="E173" s="80"/>
      <c r="F173" s="68" t="s">
        <v>57</v>
      </c>
      <c r="G173" s="59" t="s">
        <v>58</v>
      </c>
      <c r="H173" s="59"/>
      <c r="I173" s="59"/>
      <c r="J173" s="59"/>
      <c r="K173" s="81"/>
      <c r="L173" s="75"/>
      <c r="M173" s="76"/>
      <c r="N173" s="82" t="s">
        <v>59</v>
      </c>
      <c r="O173" s="82"/>
      <c r="P173" s="82"/>
      <c r="Q173" s="82"/>
      <c r="R173" s="82"/>
      <c r="S173" s="82"/>
      <c r="T173" s="82"/>
      <c r="U173" s="82"/>
      <c r="V173" s="83"/>
      <c r="X173" s="5"/>
      <c r="Z173" s="5"/>
    </row>
    <row r="174" spans="1:53" ht="13.5" customHeight="1">
      <c r="A174" s="84" t="s">
        <v>60</v>
      </c>
      <c r="B174" s="85"/>
      <c r="C174" s="85"/>
      <c r="D174" s="85"/>
      <c r="E174" s="86"/>
      <c r="F174" s="68" t="s">
        <v>57</v>
      </c>
      <c r="G174" s="59" t="s">
        <v>99</v>
      </c>
      <c r="H174" s="59"/>
      <c r="I174" s="59"/>
      <c r="J174" s="59"/>
      <c r="K174" s="87"/>
      <c r="L174" s="75">
        <f>Q169</f>
        <v>0</v>
      </c>
      <c r="M174" s="76"/>
      <c r="N174" s="85" t="s">
        <v>62</v>
      </c>
      <c r="O174" s="85"/>
      <c r="P174" s="85"/>
      <c r="Q174" s="85"/>
      <c r="R174" s="85"/>
      <c r="S174" s="85"/>
      <c r="T174" s="85"/>
      <c r="U174" s="85"/>
      <c r="V174" s="88"/>
      <c r="X174" s="5"/>
      <c r="Z174" s="5"/>
    </row>
    <row r="175" spans="1:53" ht="13.5" customHeight="1">
      <c r="A175" s="73"/>
      <c r="B175" s="64"/>
      <c r="C175" s="64"/>
      <c r="D175" s="64"/>
      <c r="E175" s="59"/>
      <c r="F175" s="68" t="s">
        <v>57</v>
      </c>
      <c r="G175" s="59" t="s">
        <v>63</v>
      </c>
      <c r="H175" s="59"/>
      <c r="I175" s="59"/>
      <c r="J175" s="59"/>
      <c r="K175" s="87"/>
      <c r="L175" s="75">
        <f>N169</f>
        <v>760</v>
      </c>
      <c r="M175" s="76"/>
      <c r="N175" s="205"/>
      <c r="O175" s="76"/>
      <c r="P175" s="76"/>
      <c r="Q175" s="76"/>
      <c r="R175" s="64"/>
      <c r="S175" s="64"/>
      <c r="T175" s="59"/>
      <c r="U175" s="59"/>
      <c r="V175" s="72"/>
      <c r="X175" s="5"/>
      <c r="Z175" s="5"/>
    </row>
    <row r="176" spans="1:53" ht="13.5" customHeight="1">
      <c r="A176" s="89"/>
      <c r="B176" s="74"/>
      <c r="C176" s="58"/>
      <c r="D176" s="58"/>
      <c r="E176" s="59"/>
      <c r="F176" s="68" t="s">
        <v>140</v>
      </c>
      <c r="G176" s="206" t="s">
        <v>141</v>
      </c>
      <c r="H176" s="59"/>
      <c r="I176" s="59"/>
      <c r="J176" s="59"/>
      <c r="K176" s="81"/>
      <c r="L176" s="75">
        <f>O169</f>
        <v>200</v>
      </c>
      <c r="M176" s="76"/>
      <c r="N176" s="205"/>
      <c r="O176" s="76"/>
      <c r="P176" s="76"/>
      <c r="Q176" s="76"/>
      <c r="R176" s="64"/>
      <c r="S176" s="64"/>
      <c r="T176" s="64"/>
      <c r="U176" s="64"/>
      <c r="V176" s="66"/>
      <c r="X176" s="5"/>
      <c r="Z176" s="5"/>
    </row>
    <row r="177" spans="1:53" ht="13.5" customHeight="1">
      <c r="A177" s="89"/>
      <c r="B177" s="74"/>
      <c r="C177" s="58"/>
      <c r="D177" s="58"/>
      <c r="E177" s="59"/>
      <c r="F177" s="68" t="s">
        <v>142</v>
      </c>
      <c r="G177" s="206" t="s">
        <v>143</v>
      </c>
      <c r="H177" s="59"/>
      <c r="I177" s="59"/>
      <c r="J177" s="59"/>
      <c r="K177" s="81"/>
      <c r="L177" s="75">
        <f>P169</f>
        <v>918.06</v>
      </c>
      <c r="M177" s="76"/>
      <c r="N177" s="205"/>
      <c r="O177" s="76"/>
      <c r="P177" s="76"/>
      <c r="Q177" s="76"/>
      <c r="R177" s="64"/>
      <c r="S177" s="64"/>
      <c r="T177" s="64"/>
      <c r="U177" s="64"/>
      <c r="V177" s="66"/>
      <c r="X177" s="5"/>
      <c r="Z177" s="5"/>
    </row>
    <row r="178" spans="1:53" ht="13.5" customHeight="1">
      <c r="A178" s="73" t="s">
        <v>65</v>
      </c>
      <c r="B178" s="64"/>
      <c r="C178" s="58"/>
      <c r="D178" s="58"/>
      <c r="E178" s="59"/>
      <c r="F178" s="68" t="s">
        <v>66</v>
      </c>
      <c r="G178" s="59" t="s">
        <v>67</v>
      </c>
      <c r="H178" s="59"/>
      <c r="I178" s="59"/>
      <c r="J178" s="59"/>
      <c r="K178" s="81"/>
      <c r="L178" s="75">
        <f>U170</f>
        <v>8050.02</v>
      </c>
      <c r="M178" s="76"/>
      <c r="N178" s="205"/>
      <c r="O178" s="76"/>
      <c r="P178" s="76"/>
      <c r="Q178" s="76"/>
      <c r="R178" s="64"/>
      <c r="S178" s="64"/>
      <c r="T178" s="64"/>
      <c r="U178" s="64"/>
      <c r="V178" s="66"/>
      <c r="X178" s="5"/>
      <c r="Y178" s="5" t="s">
        <v>68</v>
      </c>
      <c r="Z178" s="5"/>
    </row>
    <row r="179" spans="1:53" s="4" customFormat="1" ht="13.5" customHeight="1">
      <c r="A179" s="73"/>
      <c r="B179" s="64"/>
      <c r="C179" s="58"/>
      <c r="D179" s="58"/>
      <c r="E179" s="59"/>
      <c r="F179" s="68"/>
      <c r="G179" s="59"/>
      <c r="H179" s="59"/>
      <c r="I179" s="59"/>
      <c r="J179" s="59"/>
      <c r="K179" s="81"/>
      <c r="L179" s="75"/>
      <c r="M179" s="76"/>
      <c r="N179" s="205"/>
      <c r="O179" s="76"/>
      <c r="P179" s="76"/>
      <c r="Q179" s="76"/>
      <c r="R179" s="64"/>
      <c r="S179" s="64"/>
      <c r="T179" s="64"/>
      <c r="U179" s="64"/>
      <c r="V179" s="66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3" s="4" customFormat="1" ht="13.5" customHeight="1">
      <c r="A180" s="73"/>
      <c r="B180" s="58"/>
      <c r="C180" s="58"/>
      <c r="D180" s="58"/>
      <c r="E180" s="59"/>
      <c r="F180" s="90"/>
      <c r="G180" s="59"/>
      <c r="H180" s="59"/>
      <c r="I180" s="59"/>
      <c r="J180" s="59"/>
      <c r="K180" s="81"/>
      <c r="L180" s="75"/>
      <c r="M180" s="76"/>
      <c r="N180" s="205"/>
      <c r="O180" s="76"/>
      <c r="P180" s="76"/>
      <c r="Q180" s="76"/>
      <c r="R180" s="64"/>
      <c r="S180" s="64"/>
      <c r="T180" s="64"/>
      <c r="U180" s="64"/>
      <c r="V180" s="66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3" s="4" customFormat="1" ht="13.5" customHeight="1">
      <c r="A181" s="91" t="s">
        <v>69</v>
      </c>
      <c r="B181" s="82"/>
      <c r="C181" s="82"/>
      <c r="D181" s="82"/>
      <c r="E181" s="92"/>
      <c r="F181" s="90"/>
      <c r="G181" s="59"/>
      <c r="H181" s="59"/>
      <c r="I181" s="59"/>
      <c r="J181" s="59"/>
      <c r="K181" s="81"/>
      <c r="L181" s="75"/>
      <c r="M181" s="93" t="s">
        <v>70</v>
      </c>
      <c r="N181" s="93"/>
      <c r="O181" s="93"/>
      <c r="P181" s="93"/>
      <c r="Q181" s="93"/>
      <c r="R181" s="93"/>
      <c r="S181" s="93"/>
      <c r="T181" s="93"/>
      <c r="U181" s="93"/>
      <c r="V181" s="94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3" s="4" customFormat="1" ht="13.5" customHeight="1">
      <c r="A182" s="84" t="s">
        <v>71</v>
      </c>
      <c r="B182" s="85"/>
      <c r="C182" s="85"/>
      <c r="D182" s="85"/>
      <c r="E182" s="86"/>
      <c r="F182" s="90"/>
      <c r="G182" s="59"/>
      <c r="H182" s="59"/>
      <c r="I182" s="59"/>
      <c r="J182" s="59"/>
      <c r="K182" s="87"/>
      <c r="L182" s="75"/>
      <c r="M182" s="93"/>
      <c r="N182" s="93"/>
      <c r="O182" s="93"/>
      <c r="P182" s="93"/>
      <c r="Q182" s="93"/>
      <c r="R182" s="93"/>
      <c r="S182" s="93"/>
      <c r="T182" s="93"/>
      <c r="U182" s="93"/>
      <c r="V182" s="94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3" s="4" customFormat="1" ht="13.5" customHeight="1">
      <c r="A183" s="95"/>
      <c r="B183" s="96"/>
      <c r="C183" s="96"/>
      <c r="D183" s="64"/>
      <c r="E183" s="59"/>
      <c r="F183" s="90"/>
      <c r="G183" s="59"/>
      <c r="H183" s="59"/>
      <c r="I183" s="59"/>
      <c r="J183" s="59"/>
      <c r="K183" s="87"/>
      <c r="L183" s="75"/>
      <c r="M183" s="76"/>
      <c r="N183" s="205"/>
      <c r="O183" s="76"/>
      <c r="P183" s="76"/>
      <c r="Q183" s="76"/>
      <c r="R183" s="97"/>
      <c r="S183" s="97"/>
      <c r="T183" s="97"/>
      <c r="U183" s="97"/>
      <c r="V183" s="98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3" s="4" customFormat="1" ht="13.5" customHeight="1">
      <c r="A184" s="73" t="s">
        <v>72</v>
      </c>
      <c r="B184" s="58"/>
      <c r="C184" s="58"/>
      <c r="D184" s="99">
        <f>K169</f>
        <v>10450.61</v>
      </c>
      <c r="E184" s="100"/>
      <c r="F184" s="90"/>
      <c r="G184" s="64"/>
      <c r="H184" s="64"/>
      <c r="I184" s="64"/>
      <c r="J184" s="64"/>
      <c r="K184" s="87"/>
      <c r="L184" s="87"/>
      <c r="M184" s="59"/>
      <c r="N184" s="207"/>
      <c r="O184" s="59"/>
      <c r="P184" s="59"/>
      <c r="Q184" s="59"/>
      <c r="R184" s="101"/>
      <c r="S184" s="101"/>
      <c r="T184" s="101"/>
      <c r="U184" s="101"/>
      <c r="V184" s="98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3" s="4" customFormat="1" ht="13.5" customHeight="1">
      <c r="A185" s="73"/>
      <c r="B185" s="58"/>
      <c r="C185" s="58"/>
      <c r="D185" s="99"/>
      <c r="E185" s="100"/>
      <c r="F185" s="90"/>
      <c r="G185" s="64"/>
      <c r="H185" s="64"/>
      <c r="I185" s="64"/>
      <c r="J185" s="64"/>
      <c r="K185" s="87"/>
      <c r="L185" s="87"/>
      <c r="M185" s="59"/>
      <c r="N185" s="207"/>
      <c r="O185" s="59"/>
      <c r="P185" s="59"/>
      <c r="Q185" s="59"/>
      <c r="R185" s="102" t="s">
        <v>73</v>
      </c>
      <c r="S185" s="102"/>
      <c r="T185" s="102"/>
      <c r="U185" s="102"/>
      <c r="V185" s="103" t="s">
        <v>74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3" s="4" customFormat="1" ht="13.5" customHeight="1">
      <c r="A186" s="91" t="s">
        <v>75</v>
      </c>
      <c r="B186" s="82"/>
      <c r="C186" s="82"/>
      <c r="D186" s="82"/>
      <c r="E186" s="92"/>
      <c r="F186" s="90"/>
      <c r="G186" s="64"/>
      <c r="H186" s="64"/>
      <c r="I186" s="64"/>
      <c r="J186" s="64"/>
      <c r="K186" s="87"/>
      <c r="L186" s="87"/>
      <c r="M186" s="59"/>
      <c r="N186" s="207"/>
      <c r="O186" s="59"/>
      <c r="P186" s="59"/>
      <c r="Q186" s="59"/>
      <c r="R186" s="85" t="s">
        <v>76</v>
      </c>
      <c r="S186" s="85"/>
      <c r="T186" s="85"/>
      <c r="U186" s="85"/>
      <c r="V186" s="105" t="s">
        <v>77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3" s="4" customFormat="1" ht="13.5" customHeight="1">
      <c r="A187" s="84" t="s">
        <v>78</v>
      </c>
      <c r="B187" s="85"/>
      <c r="C187" s="85"/>
      <c r="D187" s="85"/>
      <c r="E187" s="85"/>
      <c r="F187" s="90"/>
      <c r="G187" s="15"/>
      <c r="H187" s="15"/>
      <c r="I187" s="15"/>
      <c r="J187" s="15"/>
      <c r="K187" s="107"/>
      <c r="L187" s="87"/>
      <c r="M187" s="62"/>
      <c r="N187" s="208"/>
      <c r="O187" s="62"/>
      <c r="P187" s="62"/>
      <c r="Q187" s="62"/>
      <c r="R187" s="108"/>
      <c r="S187" s="108"/>
      <c r="T187" s="108"/>
      <c r="U187" s="108"/>
      <c r="V187" s="109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3" s="4" customFormat="1" ht="13.5" customHeight="1" thickBot="1">
      <c r="A188" s="110"/>
      <c r="B188" s="111"/>
      <c r="C188" s="111"/>
      <c r="D188" s="112"/>
      <c r="E188" s="113"/>
      <c r="F188" s="114"/>
      <c r="G188" s="115"/>
      <c r="H188" s="115"/>
      <c r="I188" s="115"/>
      <c r="J188" s="115"/>
      <c r="K188" s="116">
        <f>SUM(K171:K187)</f>
        <v>10450.61</v>
      </c>
      <c r="L188" s="116">
        <f>SUM(L171:L187)</f>
        <v>10450.61</v>
      </c>
      <c r="M188" s="118"/>
      <c r="N188" s="209"/>
      <c r="O188" s="118"/>
      <c r="P188" s="118"/>
      <c r="Q188" s="118"/>
      <c r="R188" s="119"/>
      <c r="S188" s="119"/>
      <c r="T188" s="119"/>
      <c r="U188" s="119"/>
      <c r="V188" s="120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3" s="4" customFormat="1" ht="13.5" customHeight="1" thickBot="1">
      <c r="A189" s="68"/>
      <c r="B189" s="64"/>
      <c r="C189" s="64"/>
      <c r="D189" s="64"/>
      <c r="E189" s="59"/>
      <c r="F189" s="59"/>
      <c r="G189" s="121"/>
      <c r="H189" s="121"/>
      <c r="I189" s="121"/>
      <c r="J189" s="121"/>
      <c r="K189" s="122"/>
      <c r="L189" s="123"/>
      <c r="M189" s="123"/>
      <c r="N189" s="104"/>
      <c r="O189" s="123"/>
      <c r="P189" s="123"/>
      <c r="Q189" s="123"/>
      <c r="R189" s="106"/>
      <c r="S189" s="106"/>
      <c r="T189" s="106"/>
      <c r="U189" s="106"/>
      <c r="V189" s="124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</row>
    <row r="190" spans="1:53" s="4" customFormat="1" ht="14.25">
      <c r="A190" s="1" t="s">
        <v>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</row>
    <row r="191" spans="1:53" s="4" customFormat="1" ht="12.75">
      <c r="A191" s="6" t="s">
        <v>1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8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</row>
    <row r="192" spans="1:53" s="4" customFormat="1" ht="12.75">
      <c r="A192" s="140"/>
      <c r="B192" s="141"/>
      <c r="C192" s="141"/>
      <c r="D192" s="142"/>
      <c r="E192" s="143"/>
      <c r="F192" s="142"/>
      <c r="G192" s="142"/>
      <c r="H192" s="143"/>
      <c r="I192" s="143"/>
      <c r="J192" s="143"/>
      <c r="K192" s="144"/>
      <c r="L192" s="142"/>
      <c r="M192" s="142"/>
      <c r="N192" s="211"/>
      <c r="O192" s="142"/>
      <c r="P192" s="142"/>
      <c r="Q192" s="142"/>
      <c r="R192" s="142"/>
      <c r="S192" s="142"/>
      <c r="T192" s="142"/>
      <c r="U192" s="143"/>
      <c r="V192" s="146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</row>
    <row r="193" spans="1:53" s="4" customFormat="1" ht="12.75">
      <c r="A193" s="9" t="s">
        <v>118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</row>
    <row r="194" spans="1:53" s="4" customFormat="1" ht="12.75">
      <c r="A194" s="12" t="str">
        <f>A165</f>
        <v>July 1-15,2026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4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</row>
    <row r="195" spans="1:53">
      <c r="A195" s="140"/>
      <c r="G195" s="17"/>
      <c r="H195" s="18"/>
      <c r="I195" s="18"/>
      <c r="J195" s="18"/>
      <c r="K195" s="19"/>
      <c r="V195" s="147"/>
      <c r="X195" s="5"/>
      <c r="Z195" s="5"/>
    </row>
    <row r="196" spans="1:53" ht="10.5" thickBot="1">
      <c r="A196" s="16" t="s">
        <v>3</v>
      </c>
      <c r="G196" s="17"/>
      <c r="H196" s="18"/>
      <c r="I196" s="18"/>
      <c r="J196" s="18"/>
      <c r="K196" s="19"/>
      <c r="U196" s="21" t="s">
        <v>4</v>
      </c>
      <c r="V196" s="22"/>
      <c r="X196" s="5"/>
      <c r="Z196" s="5"/>
    </row>
    <row r="197" spans="1:53" s="28" customFormat="1" ht="45" customHeight="1">
      <c r="A197" s="23" t="s">
        <v>5</v>
      </c>
      <c r="B197" s="24" t="s">
        <v>6</v>
      </c>
      <c r="C197" s="24" t="s">
        <v>7</v>
      </c>
      <c r="D197" s="25" t="s">
        <v>8</v>
      </c>
      <c r="E197" s="25" t="s">
        <v>9</v>
      </c>
      <c r="F197" s="26" t="s">
        <v>10</v>
      </c>
      <c r="G197" s="26" t="s">
        <v>11</v>
      </c>
      <c r="H197" s="26" t="s">
        <v>136</v>
      </c>
      <c r="I197" s="26" t="s">
        <v>11</v>
      </c>
      <c r="J197" s="26"/>
      <c r="K197" s="26" t="s">
        <v>13</v>
      </c>
      <c r="L197" s="25" t="s">
        <v>17</v>
      </c>
      <c r="M197" s="25" t="s">
        <v>18</v>
      </c>
      <c r="N197" s="198" t="s">
        <v>15</v>
      </c>
      <c r="O197" s="25" t="s">
        <v>137</v>
      </c>
      <c r="P197" s="25" t="s">
        <v>133</v>
      </c>
      <c r="Q197" s="25" t="s">
        <v>16</v>
      </c>
      <c r="R197" s="25" t="s">
        <v>138</v>
      </c>
      <c r="S197" s="25" t="s">
        <v>14</v>
      </c>
      <c r="T197" s="25" t="s">
        <v>19</v>
      </c>
      <c r="U197" s="25" t="s">
        <v>20</v>
      </c>
      <c r="V197" s="27" t="s">
        <v>21</v>
      </c>
      <c r="W197" s="199">
        <v>22</v>
      </c>
      <c r="X197" s="199"/>
      <c r="Y197" s="199">
        <v>23</v>
      </c>
    </row>
    <row r="198" spans="1:53" ht="16.5" customHeight="1">
      <c r="A198" s="173">
        <v>1</v>
      </c>
      <c r="B198" s="158" t="s">
        <v>119</v>
      </c>
      <c r="C198" s="158" t="s">
        <v>120</v>
      </c>
      <c r="D198" s="174">
        <v>21186</v>
      </c>
      <c r="E198" s="175">
        <v>11</v>
      </c>
      <c r="F198" s="41">
        <v>921.13</v>
      </c>
      <c r="G198" s="176"/>
      <c r="H198" s="176"/>
      <c r="I198" s="177"/>
      <c r="J198" s="177"/>
      <c r="K198" s="36">
        <v>11985.47</v>
      </c>
      <c r="L198" s="35">
        <v>359.56</v>
      </c>
      <c r="M198" s="38">
        <v>239.71</v>
      </c>
      <c r="N198" s="217"/>
      <c r="O198" s="218"/>
      <c r="P198" s="177"/>
      <c r="Q198" s="177">
        <v>50</v>
      </c>
      <c r="R198" s="38"/>
      <c r="S198" s="38"/>
      <c r="T198" s="38">
        <f>L198+M198+N198+O198+P198+Q198+R198+S198</f>
        <v>649.27</v>
      </c>
      <c r="U198" s="37">
        <f>K198-T198</f>
        <v>11336.199999999999</v>
      </c>
      <c r="V198" s="178"/>
      <c r="W198" s="40">
        <f>D198/22</f>
        <v>963</v>
      </c>
      <c r="X198" s="200">
        <f t="shared" ref="X198:X200" si="27">W198/8/60</f>
        <v>2.0062500000000001</v>
      </c>
      <c r="Y198" s="40">
        <f>D198/23</f>
        <v>921.13043478260875</v>
      </c>
      <c r="Z198" s="201">
        <f t="shared" ref="Z198:Z200" si="28">Y198/8/60</f>
        <v>1.9190217391304349</v>
      </c>
    </row>
    <row r="199" spans="1:53" ht="16.5" customHeight="1">
      <c r="A199" s="173">
        <v>2</v>
      </c>
      <c r="B199" s="158" t="s">
        <v>121</v>
      </c>
      <c r="C199" s="158" t="s">
        <v>120</v>
      </c>
      <c r="D199" s="174">
        <v>18361.2</v>
      </c>
      <c r="E199" s="175">
        <v>10</v>
      </c>
      <c r="F199" s="176">
        <v>798.31</v>
      </c>
      <c r="G199" s="176"/>
      <c r="H199" s="176"/>
      <c r="I199" s="177"/>
      <c r="J199" s="177"/>
      <c r="K199" s="36">
        <v>9521.7000000000007</v>
      </c>
      <c r="L199" s="35">
        <v>285.64999999999998</v>
      </c>
      <c r="M199" s="38">
        <v>190.43</v>
      </c>
      <c r="N199" s="217"/>
      <c r="O199" s="218"/>
      <c r="P199" s="177"/>
      <c r="Q199" s="177"/>
      <c r="R199" s="38"/>
      <c r="S199" s="38"/>
      <c r="T199" s="38">
        <f>L199+M199+N199+O199+P199+Q199+R199+S199</f>
        <v>476.08</v>
      </c>
      <c r="U199" s="37">
        <f>K199-T199</f>
        <v>9045.6200000000008</v>
      </c>
      <c r="V199" s="178"/>
      <c r="W199" s="40">
        <f>D199/22</f>
        <v>834.6</v>
      </c>
      <c r="X199" s="200">
        <f t="shared" si="27"/>
        <v>1.73875</v>
      </c>
      <c r="Y199" s="40">
        <f>D199/23</f>
        <v>798.31304347826085</v>
      </c>
      <c r="Z199" s="201">
        <f t="shared" si="28"/>
        <v>1.6631521739130435</v>
      </c>
    </row>
    <row r="200" spans="1:53" ht="16.5" customHeight="1">
      <c r="A200" s="179">
        <v>3</v>
      </c>
      <c r="B200" s="45" t="s">
        <v>122</v>
      </c>
      <c r="C200" s="31" t="s">
        <v>120</v>
      </c>
      <c r="D200" s="47">
        <v>19773.599999999999</v>
      </c>
      <c r="E200" s="175">
        <v>11</v>
      </c>
      <c r="F200" s="176">
        <v>859.72</v>
      </c>
      <c r="G200" s="180"/>
      <c r="H200" s="180"/>
      <c r="I200" s="180"/>
      <c r="J200" s="180"/>
      <c r="K200" s="36">
        <v>11250.94</v>
      </c>
      <c r="L200" s="35">
        <v>337.53</v>
      </c>
      <c r="M200" s="38">
        <v>225.02</v>
      </c>
      <c r="N200" s="219">
        <v>760</v>
      </c>
      <c r="O200" s="219">
        <v>200</v>
      </c>
      <c r="P200" s="37">
        <v>988.68</v>
      </c>
      <c r="Q200" s="180">
        <v>500</v>
      </c>
      <c r="R200" s="38"/>
      <c r="S200" s="38"/>
      <c r="T200" s="38">
        <f>L200+M200+N200+O200+P200+Q200+R200+S200</f>
        <v>3011.23</v>
      </c>
      <c r="U200" s="37">
        <f>K200-T200</f>
        <v>8239.7100000000009</v>
      </c>
      <c r="V200" s="161"/>
      <c r="W200" s="40">
        <f>D200/22</f>
        <v>898.8</v>
      </c>
      <c r="X200" s="200">
        <f t="shared" si="27"/>
        <v>1.8724999999999998</v>
      </c>
      <c r="Y200" s="40">
        <f>D200/23</f>
        <v>859.72173913043468</v>
      </c>
      <c r="Z200" s="201">
        <f t="shared" si="28"/>
        <v>1.7910869565217389</v>
      </c>
    </row>
    <row r="201" spans="1:53" s="59" customFormat="1" ht="24.75" customHeight="1" thickBot="1">
      <c r="A201" s="151"/>
      <c r="B201" s="152"/>
      <c r="C201" s="153"/>
      <c r="D201" s="153"/>
      <c r="E201" s="153"/>
      <c r="F201" s="154"/>
      <c r="G201" s="154"/>
      <c r="H201" s="154"/>
      <c r="I201" s="154"/>
      <c r="J201" s="154"/>
      <c r="K201" s="156">
        <f>SUM(K198:K200)</f>
        <v>32758.11</v>
      </c>
      <c r="L201" s="156">
        <f t="shared" ref="L201:T201" si="29">SUM(L198:L200)</f>
        <v>982.74</v>
      </c>
      <c r="M201" s="156">
        <f t="shared" si="29"/>
        <v>655.16</v>
      </c>
      <c r="N201" s="156">
        <f t="shared" si="29"/>
        <v>760</v>
      </c>
      <c r="O201" s="156">
        <f t="shared" si="29"/>
        <v>200</v>
      </c>
      <c r="P201" s="156">
        <f t="shared" si="29"/>
        <v>988.68</v>
      </c>
      <c r="Q201" s="156">
        <f t="shared" si="29"/>
        <v>550</v>
      </c>
      <c r="R201" s="156">
        <f t="shared" si="29"/>
        <v>0</v>
      </c>
      <c r="S201" s="156">
        <f t="shared" si="29"/>
        <v>0</v>
      </c>
      <c r="T201" s="156">
        <f t="shared" si="29"/>
        <v>4136.58</v>
      </c>
      <c r="U201" s="156">
        <f>SUM(U198:U200)</f>
        <v>28621.53</v>
      </c>
      <c r="V201" s="157"/>
    </row>
    <row r="202" spans="1:53" s="67" customFormat="1" ht="13.5" customHeight="1" thickTop="1">
      <c r="A202" s="57" t="s">
        <v>47</v>
      </c>
      <c r="B202" s="58"/>
      <c r="C202" s="58"/>
      <c r="D202" s="58"/>
      <c r="E202" s="59"/>
      <c r="F202" s="60" t="s">
        <v>48</v>
      </c>
      <c r="G202" s="59"/>
      <c r="H202" s="59"/>
      <c r="I202" s="59"/>
      <c r="J202" s="59"/>
      <c r="K202" s="61" t="s">
        <v>49</v>
      </c>
      <c r="L202" s="61" t="s">
        <v>50</v>
      </c>
      <c r="M202" s="62" t="s">
        <v>51</v>
      </c>
      <c r="N202" s="204"/>
      <c r="O202" s="63"/>
      <c r="P202" s="63"/>
      <c r="Q202" s="63"/>
      <c r="R202" s="62"/>
      <c r="S202" s="62"/>
      <c r="T202" s="64"/>
      <c r="U202" s="65">
        <f>U201</f>
        <v>28621.53</v>
      </c>
      <c r="V202" s="66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ht="13.5" customHeight="1">
      <c r="A203" s="57"/>
      <c r="B203" s="58"/>
      <c r="C203" s="58"/>
      <c r="D203" s="58"/>
      <c r="E203" s="59"/>
      <c r="F203" s="68" t="s">
        <v>52</v>
      </c>
      <c r="G203" s="58" t="s">
        <v>53</v>
      </c>
      <c r="H203" s="58"/>
      <c r="I203" s="58"/>
      <c r="J203" s="58"/>
      <c r="K203" s="69">
        <f>K201</f>
        <v>32758.11</v>
      </c>
      <c r="L203" s="70">
        <v>0</v>
      </c>
      <c r="M203" s="71"/>
      <c r="N203" s="106"/>
      <c r="O203" s="71"/>
      <c r="P203" s="71"/>
      <c r="Q203" s="71"/>
      <c r="R203" s="62"/>
      <c r="S203" s="62"/>
      <c r="T203" s="59"/>
      <c r="U203" s="59"/>
      <c r="V203" s="72"/>
      <c r="X203" s="5"/>
      <c r="Z203" s="5"/>
    </row>
    <row r="204" spans="1:53" ht="13.5" customHeight="1">
      <c r="A204" s="73"/>
      <c r="B204" s="74"/>
      <c r="C204" s="64"/>
      <c r="D204" s="64"/>
      <c r="E204" s="59"/>
      <c r="F204" s="68" t="s">
        <v>54</v>
      </c>
      <c r="G204" s="59" t="s">
        <v>55</v>
      </c>
      <c r="H204" s="59"/>
      <c r="I204" s="59"/>
      <c r="J204" s="59"/>
      <c r="K204" s="69"/>
      <c r="L204" s="75">
        <f>L201+M201</f>
        <v>1637.9</v>
      </c>
      <c r="M204" s="76"/>
      <c r="N204" s="205"/>
      <c r="O204" s="76"/>
      <c r="P204" s="76"/>
      <c r="Q204" s="76"/>
      <c r="R204" s="62"/>
      <c r="S204" s="62"/>
      <c r="T204" s="77"/>
      <c r="U204" s="59"/>
      <c r="V204" s="72"/>
      <c r="X204" s="5"/>
      <c r="Z204" s="5"/>
    </row>
    <row r="205" spans="1:53" ht="13.5" customHeight="1">
      <c r="A205" s="78" t="s">
        <v>56</v>
      </c>
      <c r="B205" s="79"/>
      <c r="C205" s="79"/>
      <c r="D205" s="79"/>
      <c r="E205" s="80"/>
      <c r="F205" s="68" t="s">
        <v>57</v>
      </c>
      <c r="G205" s="59" t="s">
        <v>58</v>
      </c>
      <c r="H205" s="59"/>
      <c r="I205" s="59"/>
      <c r="J205" s="59"/>
      <c r="K205" s="81"/>
      <c r="L205" s="75"/>
      <c r="M205" s="76"/>
      <c r="N205" s="82" t="s">
        <v>59</v>
      </c>
      <c r="O205" s="82"/>
      <c r="P205" s="82"/>
      <c r="Q205" s="82"/>
      <c r="R205" s="82"/>
      <c r="S205" s="82"/>
      <c r="T205" s="82"/>
      <c r="U205" s="82"/>
      <c r="V205" s="83"/>
      <c r="X205" s="5"/>
      <c r="Z205" s="5"/>
    </row>
    <row r="206" spans="1:53" ht="13.5" customHeight="1">
      <c r="A206" s="84" t="s">
        <v>60</v>
      </c>
      <c r="B206" s="85"/>
      <c r="C206" s="85"/>
      <c r="D206" s="85"/>
      <c r="E206" s="86"/>
      <c r="F206" s="68" t="s">
        <v>57</v>
      </c>
      <c r="G206" s="59" t="s">
        <v>99</v>
      </c>
      <c r="H206" s="59"/>
      <c r="I206" s="59"/>
      <c r="J206" s="59"/>
      <c r="K206" s="87"/>
      <c r="L206" s="75">
        <f>Q201</f>
        <v>550</v>
      </c>
      <c r="M206" s="76"/>
      <c r="N206" s="85" t="s">
        <v>62</v>
      </c>
      <c r="O206" s="85"/>
      <c r="P206" s="85"/>
      <c r="Q206" s="85"/>
      <c r="R206" s="85"/>
      <c r="S206" s="85"/>
      <c r="T206" s="85"/>
      <c r="U206" s="85"/>
      <c r="V206" s="88"/>
      <c r="X206" s="5"/>
      <c r="Z206" s="5"/>
    </row>
    <row r="207" spans="1:53" ht="13.5" customHeight="1">
      <c r="A207" s="73"/>
      <c r="B207" s="64"/>
      <c r="C207" s="64"/>
      <c r="D207" s="64"/>
      <c r="E207" s="59"/>
      <c r="F207" s="68" t="s">
        <v>57</v>
      </c>
      <c r="G207" s="59" t="s">
        <v>63</v>
      </c>
      <c r="H207" s="59"/>
      <c r="I207" s="59"/>
      <c r="J207" s="59"/>
      <c r="K207" s="87"/>
      <c r="L207" s="75">
        <f>N201</f>
        <v>760</v>
      </c>
      <c r="M207" s="76"/>
      <c r="N207" s="205"/>
      <c r="O207" s="76"/>
      <c r="P207" s="76"/>
      <c r="Q207" s="76"/>
      <c r="R207" s="64"/>
      <c r="S207" s="64"/>
      <c r="T207" s="59"/>
      <c r="U207" s="59"/>
      <c r="V207" s="72"/>
      <c r="X207" s="5"/>
      <c r="Z207" s="5"/>
    </row>
    <row r="208" spans="1:53" ht="13.5" customHeight="1">
      <c r="A208" s="73"/>
      <c r="B208" s="64"/>
      <c r="C208" s="64"/>
      <c r="D208" s="64"/>
      <c r="E208" s="59"/>
      <c r="F208" s="68" t="s">
        <v>140</v>
      </c>
      <c r="G208" s="206" t="s">
        <v>141</v>
      </c>
      <c r="H208" s="59"/>
      <c r="I208" s="59"/>
      <c r="J208" s="59"/>
      <c r="K208" s="87"/>
      <c r="L208" s="75">
        <f>O201</f>
        <v>200</v>
      </c>
      <c r="M208" s="76"/>
      <c r="N208" s="205"/>
      <c r="O208" s="76"/>
      <c r="P208" s="76"/>
      <c r="Q208" s="76"/>
      <c r="R208" s="64"/>
      <c r="S208" s="64"/>
      <c r="T208" s="59"/>
      <c r="U208" s="59"/>
      <c r="V208" s="72"/>
      <c r="X208" s="5"/>
      <c r="Z208" s="5"/>
    </row>
    <row r="209" spans="1:26" ht="13.5" customHeight="1">
      <c r="A209" s="89"/>
      <c r="B209" s="74"/>
      <c r="C209" s="58"/>
      <c r="D209" s="58"/>
      <c r="E209" s="59"/>
      <c r="F209" s="68" t="s">
        <v>142</v>
      </c>
      <c r="G209" s="206" t="s">
        <v>143</v>
      </c>
      <c r="H209" s="59"/>
      <c r="I209" s="59"/>
      <c r="J209" s="59"/>
      <c r="K209" s="81"/>
      <c r="L209" s="75">
        <f>P201</f>
        <v>988.68</v>
      </c>
      <c r="M209" s="76"/>
      <c r="N209" s="205"/>
      <c r="O209" s="76"/>
      <c r="P209" s="76"/>
      <c r="Q209" s="76"/>
      <c r="R209" s="64"/>
      <c r="S209" s="64"/>
      <c r="T209" s="64"/>
      <c r="U209" s="64"/>
      <c r="V209" s="66"/>
      <c r="X209" s="5"/>
      <c r="Z209" s="5"/>
    </row>
    <row r="210" spans="1:26" ht="13.5" customHeight="1">
      <c r="A210" s="73" t="s">
        <v>65</v>
      </c>
      <c r="B210" s="64"/>
      <c r="C210" s="58"/>
      <c r="D210" s="58"/>
      <c r="E210" s="59"/>
      <c r="F210" s="68" t="s">
        <v>66</v>
      </c>
      <c r="G210" s="59" t="s">
        <v>67</v>
      </c>
      <c r="H210" s="59"/>
      <c r="I210" s="59"/>
      <c r="J210" s="59"/>
      <c r="K210" s="81"/>
      <c r="L210" s="75">
        <f>U202</f>
        <v>28621.53</v>
      </c>
      <c r="M210" s="76"/>
      <c r="N210" s="205"/>
      <c r="O210" s="76"/>
      <c r="P210" s="76"/>
      <c r="Q210" s="76"/>
      <c r="R210" s="64"/>
      <c r="S210" s="64"/>
      <c r="T210" s="64"/>
      <c r="U210" s="64"/>
      <c r="V210" s="66"/>
      <c r="X210" s="5"/>
      <c r="Y210" s="5" t="s">
        <v>68</v>
      </c>
      <c r="Z210" s="5"/>
    </row>
    <row r="211" spans="1:26" ht="13.5" customHeight="1">
      <c r="A211" s="73"/>
      <c r="B211" s="64"/>
      <c r="C211" s="58"/>
      <c r="D211" s="58"/>
      <c r="E211" s="59"/>
      <c r="F211" s="68"/>
      <c r="G211" s="59"/>
      <c r="H211" s="59"/>
      <c r="I211" s="59"/>
      <c r="J211" s="59"/>
      <c r="K211" s="81"/>
      <c r="L211" s="75"/>
      <c r="M211" s="76"/>
      <c r="N211" s="205"/>
      <c r="O211" s="76"/>
      <c r="P211" s="76"/>
      <c r="Q211" s="76"/>
      <c r="R211" s="64"/>
      <c r="S211" s="64"/>
      <c r="T211" s="64"/>
      <c r="U211" s="64"/>
      <c r="V211" s="66"/>
      <c r="X211" s="5"/>
      <c r="Z211" s="5"/>
    </row>
    <row r="212" spans="1:26" ht="13.5" customHeight="1">
      <c r="A212" s="73"/>
      <c r="B212" s="58"/>
      <c r="C212" s="58"/>
      <c r="D212" s="58"/>
      <c r="E212" s="59"/>
      <c r="F212" s="90"/>
      <c r="G212" s="59"/>
      <c r="H212" s="59"/>
      <c r="I212" s="59"/>
      <c r="J212" s="59"/>
      <c r="K212" s="81"/>
      <c r="L212" s="75"/>
      <c r="M212" s="76"/>
      <c r="N212" s="205"/>
      <c r="O212" s="76"/>
      <c r="P212" s="76"/>
      <c r="Q212" s="76"/>
      <c r="R212" s="64"/>
      <c r="S212" s="64"/>
      <c r="T212" s="64"/>
      <c r="U212" s="64"/>
      <c r="V212" s="66"/>
      <c r="X212" s="5"/>
      <c r="Z212" s="5"/>
    </row>
    <row r="213" spans="1:26" ht="13.5" customHeight="1">
      <c r="A213" s="91" t="s">
        <v>69</v>
      </c>
      <c r="B213" s="82"/>
      <c r="C213" s="82"/>
      <c r="D213" s="82"/>
      <c r="E213" s="92"/>
      <c r="F213" s="90"/>
      <c r="G213" s="59"/>
      <c r="H213" s="59"/>
      <c r="I213" s="59"/>
      <c r="J213" s="59"/>
      <c r="K213" s="81"/>
      <c r="L213" s="75"/>
      <c r="M213" s="93" t="s">
        <v>70</v>
      </c>
      <c r="N213" s="93"/>
      <c r="O213" s="93"/>
      <c r="P213" s="93"/>
      <c r="Q213" s="93"/>
      <c r="R213" s="93"/>
      <c r="S213" s="93"/>
      <c r="T213" s="93"/>
      <c r="U213" s="93"/>
      <c r="V213" s="94"/>
      <c r="X213" s="5"/>
      <c r="Z213" s="5"/>
    </row>
    <row r="214" spans="1:26" ht="13.5" customHeight="1">
      <c r="A214" s="84" t="s">
        <v>71</v>
      </c>
      <c r="B214" s="85"/>
      <c r="C214" s="85"/>
      <c r="D214" s="85"/>
      <c r="E214" s="86"/>
      <c r="F214" s="90"/>
      <c r="G214" s="59"/>
      <c r="H214" s="59"/>
      <c r="I214" s="59"/>
      <c r="J214" s="59"/>
      <c r="K214" s="87"/>
      <c r="L214" s="75"/>
      <c r="M214" s="93"/>
      <c r="N214" s="93"/>
      <c r="O214" s="93"/>
      <c r="P214" s="93"/>
      <c r="Q214" s="93"/>
      <c r="R214" s="93"/>
      <c r="S214" s="93"/>
      <c r="T214" s="93"/>
      <c r="U214" s="93"/>
      <c r="V214" s="94"/>
      <c r="X214" s="5"/>
      <c r="Z214" s="5"/>
    </row>
    <row r="215" spans="1:26" ht="13.5" customHeight="1">
      <c r="A215" s="95"/>
      <c r="B215" s="96"/>
      <c r="C215" s="96"/>
      <c r="D215" s="64"/>
      <c r="E215" s="59"/>
      <c r="F215" s="90"/>
      <c r="G215" s="59"/>
      <c r="H215" s="59"/>
      <c r="I215" s="59"/>
      <c r="J215" s="59"/>
      <c r="K215" s="87"/>
      <c r="L215" s="75"/>
      <c r="M215" s="76"/>
      <c r="N215" s="205"/>
      <c r="O215" s="76"/>
      <c r="P215" s="76"/>
      <c r="Q215" s="76"/>
      <c r="R215" s="97"/>
      <c r="S215" s="97"/>
      <c r="T215" s="97"/>
      <c r="U215" s="97"/>
      <c r="V215" s="98"/>
      <c r="X215" s="5"/>
      <c r="Z215" s="5"/>
    </row>
    <row r="216" spans="1:26" ht="13.5" customHeight="1">
      <c r="A216" s="73" t="s">
        <v>72</v>
      </c>
      <c r="B216" s="58"/>
      <c r="C216" s="58"/>
      <c r="D216" s="99">
        <f>K201</f>
        <v>32758.11</v>
      </c>
      <c r="E216" s="100"/>
      <c r="F216" s="90"/>
      <c r="G216" s="64"/>
      <c r="H216" s="64"/>
      <c r="I216" s="64"/>
      <c r="J216" s="64"/>
      <c r="K216" s="87"/>
      <c r="L216" s="87"/>
      <c r="M216" s="59"/>
      <c r="N216" s="207"/>
      <c r="O216" s="59"/>
      <c r="P216" s="59"/>
      <c r="Q216" s="59"/>
      <c r="R216" s="101"/>
      <c r="S216" s="101"/>
      <c r="T216" s="101"/>
      <c r="U216" s="101"/>
      <c r="V216" s="98"/>
      <c r="X216" s="5"/>
      <c r="Z216" s="5"/>
    </row>
    <row r="217" spans="1:26" ht="13.5" customHeight="1">
      <c r="A217" s="73"/>
      <c r="B217" s="58"/>
      <c r="C217" s="58"/>
      <c r="D217" s="99"/>
      <c r="E217" s="100"/>
      <c r="F217" s="90"/>
      <c r="G217" s="64"/>
      <c r="H217" s="64"/>
      <c r="I217" s="64"/>
      <c r="J217" s="64"/>
      <c r="K217" s="87"/>
      <c r="L217" s="87"/>
      <c r="M217" s="59"/>
      <c r="N217" s="207"/>
      <c r="O217" s="59"/>
      <c r="P217" s="59"/>
      <c r="Q217" s="59"/>
      <c r="R217" s="102" t="s">
        <v>73</v>
      </c>
      <c r="S217" s="102"/>
      <c r="T217" s="102"/>
      <c r="U217" s="102"/>
      <c r="V217" s="103" t="s">
        <v>74</v>
      </c>
      <c r="X217" s="5"/>
      <c r="Z217" s="5"/>
    </row>
    <row r="218" spans="1:26" ht="13.5" customHeight="1">
      <c r="A218" s="91" t="s">
        <v>75</v>
      </c>
      <c r="B218" s="82"/>
      <c r="C218" s="82"/>
      <c r="D218" s="82"/>
      <c r="E218" s="92"/>
      <c r="F218" s="90"/>
      <c r="G218" s="64"/>
      <c r="H218" s="64"/>
      <c r="I218" s="64"/>
      <c r="J218" s="64"/>
      <c r="K218" s="87"/>
      <c r="L218" s="87"/>
      <c r="M218" s="59"/>
      <c r="N218" s="207"/>
      <c r="O218" s="59"/>
      <c r="P218" s="59"/>
      <c r="Q218" s="59"/>
      <c r="R218" s="85" t="s">
        <v>76</v>
      </c>
      <c r="S218" s="85"/>
      <c r="T218" s="85"/>
      <c r="U218" s="85"/>
      <c r="V218" s="105" t="s">
        <v>77</v>
      </c>
      <c r="X218" s="5"/>
      <c r="Z218" s="5"/>
    </row>
    <row r="219" spans="1:26" ht="13.5" customHeight="1">
      <c r="A219" s="84" t="s">
        <v>78</v>
      </c>
      <c r="B219" s="85"/>
      <c r="C219" s="85"/>
      <c r="D219" s="85"/>
      <c r="E219" s="85"/>
      <c r="F219" s="90"/>
      <c r="G219" s="15"/>
      <c r="H219" s="15"/>
      <c r="I219" s="15"/>
      <c r="J219" s="15"/>
      <c r="K219" s="107"/>
      <c r="L219" s="87"/>
      <c r="M219" s="62"/>
      <c r="N219" s="208"/>
      <c r="O219" s="62"/>
      <c r="P219" s="62"/>
      <c r="Q219" s="62"/>
      <c r="R219" s="108"/>
      <c r="S219" s="108"/>
      <c r="T219" s="108"/>
      <c r="U219" s="108"/>
      <c r="V219" s="109"/>
      <c r="X219" s="5"/>
      <c r="Z219" s="5"/>
    </row>
    <row r="220" spans="1:26" ht="13.5" customHeight="1" thickBot="1">
      <c r="A220" s="110"/>
      <c r="B220" s="111"/>
      <c r="C220" s="111"/>
      <c r="D220" s="112"/>
      <c r="E220" s="113"/>
      <c r="F220" s="114"/>
      <c r="G220" s="115"/>
      <c r="H220" s="115"/>
      <c r="I220" s="115"/>
      <c r="J220" s="115"/>
      <c r="K220" s="116">
        <f>SUM(K203:K219)</f>
        <v>32758.11</v>
      </c>
      <c r="L220" s="117">
        <f>SUM(L203:L219)</f>
        <v>32758.11</v>
      </c>
      <c r="M220" s="118"/>
      <c r="N220" s="209"/>
      <c r="O220" s="118"/>
      <c r="P220" s="118"/>
      <c r="Q220" s="118"/>
      <c r="R220" s="119"/>
      <c r="S220" s="119"/>
      <c r="T220" s="119"/>
      <c r="U220" s="119"/>
      <c r="V220" s="120"/>
      <c r="X220" s="5"/>
      <c r="Z220" s="5"/>
    </row>
    <row r="221" spans="1:26" ht="13.5" customHeight="1" thickBot="1">
      <c r="A221" s="64"/>
      <c r="B221" s="64"/>
      <c r="C221" s="64"/>
      <c r="D221" s="64"/>
      <c r="E221" s="59"/>
      <c r="F221" s="59"/>
      <c r="G221" s="121"/>
      <c r="H221" s="121"/>
      <c r="I221" s="121"/>
      <c r="J221" s="121"/>
      <c r="K221" s="122"/>
      <c r="L221" s="123"/>
      <c r="M221" s="123"/>
      <c r="N221" s="104"/>
      <c r="O221" s="123"/>
      <c r="P221" s="123"/>
      <c r="Q221" s="123"/>
      <c r="R221" s="106"/>
      <c r="S221" s="106"/>
      <c r="T221" s="106"/>
      <c r="U221" s="106"/>
      <c r="V221" s="106"/>
      <c r="X221" s="5"/>
      <c r="Z221" s="5"/>
    </row>
    <row r="222" spans="1:26" ht="12.75" customHeight="1">
      <c r="A222" s="181" t="s">
        <v>1</v>
      </c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3"/>
      <c r="X222" s="5"/>
      <c r="Z222" s="5"/>
    </row>
    <row r="223" spans="1:26" ht="12.75" customHeight="1">
      <c r="A223" s="9" t="s">
        <v>123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  <c r="X223" s="5"/>
      <c r="Z223" s="5"/>
    </row>
    <row r="224" spans="1:26" ht="12.75" customHeight="1">
      <c r="A224" s="12" t="str">
        <f>A194</f>
        <v>July 1-15,2026</v>
      </c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4"/>
      <c r="X224" s="5"/>
      <c r="Z224" s="5"/>
    </row>
    <row r="225" spans="1:53" ht="21.75" customHeight="1" thickBot="1">
      <c r="A225" s="16" t="s">
        <v>3</v>
      </c>
      <c r="U225" s="21" t="s">
        <v>4</v>
      </c>
      <c r="V225" s="22"/>
      <c r="X225" s="5"/>
      <c r="Z225" s="5"/>
    </row>
    <row r="226" spans="1:53" s="28" customFormat="1" ht="45" customHeight="1">
      <c r="A226" s="23" t="s">
        <v>5</v>
      </c>
      <c r="B226" s="24" t="s">
        <v>6</v>
      </c>
      <c r="C226" s="24" t="s">
        <v>7</v>
      </c>
      <c r="D226" s="25" t="s">
        <v>8</v>
      </c>
      <c r="E226" s="25" t="s">
        <v>9</v>
      </c>
      <c r="F226" s="26" t="s">
        <v>10</v>
      </c>
      <c r="G226" s="26" t="s">
        <v>11</v>
      </c>
      <c r="H226" s="26" t="s">
        <v>136</v>
      </c>
      <c r="I226" s="26" t="s">
        <v>11</v>
      </c>
      <c r="J226" s="26" t="s">
        <v>163</v>
      </c>
      <c r="K226" s="26" t="s">
        <v>13</v>
      </c>
      <c r="L226" s="25" t="s">
        <v>17</v>
      </c>
      <c r="M226" s="25" t="s">
        <v>18</v>
      </c>
      <c r="N226" s="198" t="s">
        <v>15</v>
      </c>
      <c r="O226" s="25" t="s">
        <v>137</v>
      </c>
      <c r="P226" s="25" t="s">
        <v>133</v>
      </c>
      <c r="Q226" s="25" t="s">
        <v>16</v>
      </c>
      <c r="R226" s="25" t="s">
        <v>138</v>
      </c>
      <c r="S226" s="25" t="s">
        <v>14</v>
      </c>
      <c r="T226" s="25" t="s">
        <v>19</v>
      </c>
      <c r="U226" s="25" t="s">
        <v>20</v>
      </c>
      <c r="V226" s="27" t="s">
        <v>21</v>
      </c>
      <c r="W226" s="199">
        <v>22</v>
      </c>
      <c r="X226" s="199"/>
      <c r="Y226" s="199">
        <v>23</v>
      </c>
    </row>
    <row r="227" spans="1:53" ht="15" customHeight="1">
      <c r="A227" s="125">
        <v>1</v>
      </c>
      <c r="B227" s="31" t="s">
        <v>124</v>
      </c>
      <c r="C227" s="31" t="s">
        <v>24</v>
      </c>
      <c r="D227" s="34">
        <v>21186</v>
      </c>
      <c r="E227" s="149">
        <v>11</v>
      </c>
      <c r="F227" s="41">
        <v>921.13</v>
      </c>
      <c r="G227" s="35"/>
      <c r="H227" s="35"/>
      <c r="I227" s="35"/>
      <c r="J227" s="35"/>
      <c r="K227" s="36">
        <v>12058.43</v>
      </c>
      <c r="L227" s="35">
        <v>361.75</v>
      </c>
      <c r="M227" s="38">
        <v>241.17</v>
      </c>
      <c r="N227" s="172">
        <v>760</v>
      </c>
      <c r="O227" s="172">
        <v>200</v>
      </c>
      <c r="P227" s="37">
        <v>1059.3</v>
      </c>
      <c r="Q227" s="33"/>
      <c r="R227" s="38"/>
      <c r="S227" s="38"/>
      <c r="T227" s="38">
        <f t="shared" ref="T227:T235" si="30">L227+M227+N227+O227+P227+Q227+R227+S227</f>
        <v>2622.2200000000003</v>
      </c>
      <c r="U227" s="37">
        <f t="shared" ref="U227:U235" si="31">K227-T227</f>
        <v>9436.2099999999991</v>
      </c>
      <c r="V227" s="184"/>
      <c r="W227" s="40">
        <f t="shared" ref="W227:W235" si="32">D227/22</f>
        <v>963</v>
      </c>
      <c r="X227" s="200">
        <f t="shared" ref="X227:X235" si="33">W227/8/60</f>
        <v>2.0062500000000001</v>
      </c>
      <c r="Y227" s="40">
        <f t="shared" ref="Y227:Y235" si="34">D227/23</f>
        <v>921.13043478260875</v>
      </c>
      <c r="Z227" s="201">
        <f t="shared" ref="Z227:Z235" si="35">Y227/8/60</f>
        <v>1.9190217391304349</v>
      </c>
      <c r="AA227" s="126"/>
      <c r="AB227" s="126"/>
      <c r="AC227" s="127"/>
      <c r="AD227" s="127"/>
      <c r="AE227" s="128"/>
      <c r="AF227" s="128"/>
    </row>
    <row r="228" spans="1:53" ht="15" customHeight="1">
      <c r="A228" s="125">
        <v>2</v>
      </c>
      <c r="B228" s="31" t="s">
        <v>125</v>
      </c>
      <c r="C228" s="31" t="s">
        <v>24</v>
      </c>
      <c r="D228" s="34">
        <v>21186</v>
      </c>
      <c r="E228" s="149">
        <v>11</v>
      </c>
      <c r="F228" s="41">
        <v>921.13</v>
      </c>
      <c r="G228" s="35"/>
      <c r="H228" s="35"/>
      <c r="I228" s="35"/>
      <c r="J228" s="35"/>
      <c r="K228" s="36">
        <v>12058.43</v>
      </c>
      <c r="L228" s="35">
        <v>361.75</v>
      </c>
      <c r="M228" s="38">
        <v>241.17</v>
      </c>
      <c r="N228" s="172">
        <v>760</v>
      </c>
      <c r="O228" s="172">
        <v>200</v>
      </c>
      <c r="P228" s="37">
        <v>1059.3</v>
      </c>
      <c r="Q228" s="33"/>
      <c r="R228" s="38"/>
      <c r="S228" s="38"/>
      <c r="T228" s="38">
        <f t="shared" si="30"/>
        <v>2622.2200000000003</v>
      </c>
      <c r="U228" s="37">
        <f t="shared" si="31"/>
        <v>9436.2099999999991</v>
      </c>
      <c r="V228" s="184"/>
      <c r="W228" s="40">
        <f t="shared" si="32"/>
        <v>963</v>
      </c>
      <c r="X228" s="200">
        <f t="shared" si="33"/>
        <v>2.0062500000000001</v>
      </c>
      <c r="Y228" s="40">
        <f t="shared" si="34"/>
        <v>921.13043478260875</v>
      </c>
      <c r="Z228" s="201">
        <f t="shared" si="35"/>
        <v>1.9190217391304349</v>
      </c>
      <c r="AA228" s="126"/>
      <c r="AB228" s="126"/>
      <c r="AC228" s="127"/>
      <c r="AD228" s="127"/>
      <c r="AE228" s="128"/>
      <c r="AF228" s="128"/>
    </row>
    <row r="229" spans="1:53" ht="15" customHeight="1">
      <c r="A229" s="125">
        <v>3</v>
      </c>
      <c r="B229" s="158" t="s">
        <v>126</v>
      </c>
      <c r="C229" s="31" t="s">
        <v>24</v>
      </c>
      <c r="D229" s="185">
        <v>21186</v>
      </c>
      <c r="E229" s="149">
        <v>10</v>
      </c>
      <c r="F229" s="41">
        <v>921.13</v>
      </c>
      <c r="G229" s="35"/>
      <c r="H229" s="35"/>
      <c r="I229" s="35"/>
      <c r="J229" s="35"/>
      <c r="K229" s="36">
        <v>11131.36</v>
      </c>
      <c r="L229" s="35">
        <v>333.94</v>
      </c>
      <c r="M229" s="38">
        <v>222.63</v>
      </c>
      <c r="N229" s="172">
        <v>760</v>
      </c>
      <c r="O229" s="172">
        <v>200</v>
      </c>
      <c r="P229" s="37">
        <v>1059.3</v>
      </c>
      <c r="Q229" s="33"/>
      <c r="R229" s="38"/>
      <c r="S229" s="38"/>
      <c r="T229" s="38">
        <f t="shared" si="30"/>
        <v>2575.87</v>
      </c>
      <c r="U229" s="37">
        <f t="shared" si="31"/>
        <v>8555.4900000000016</v>
      </c>
      <c r="V229" s="184"/>
      <c r="W229" s="40">
        <f t="shared" si="32"/>
        <v>963</v>
      </c>
      <c r="X229" s="200">
        <f t="shared" si="33"/>
        <v>2.0062500000000001</v>
      </c>
      <c r="Y229" s="40">
        <f t="shared" si="34"/>
        <v>921.13043478260875</v>
      </c>
      <c r="Z229" s="201">
        <f t="shared" si="35"/>
        <v>1.9190217391304349</v>
      </c>
      <c r="AA229" s="126"/>
      <c r="AB229" s="126"/>
      <c r="AC229" s="127"/>
      <c r="AD229" s="127"/>
      <c r="AE229" s="128"/>
      <c r="AF229" s="128"/>
    </row>
    <row r="230" spans="1:53" ht="15" customHeight="1">
      <c r="A230" s="125">
        <v>4</v>
      </c>
      <c r="B230" s="158" t="s">
        <v>127</v>
      </c>
      <c r="C230" s="31" t="s">
        <v>24</v>
      </c>
      <c r="D230" s="185">
        <v>21186</v>
      </c>
      <c r="E230" s="149">
        <v>11</v>
      </c>
      <c r="F230" s="41">
        <v>921.13</v>
      </c>
      <c r="G230" s="35"/>
      <c r="H230" s="35"/>
      <c r="I230" s="35"/>
      <c r="J230" s="35"/>
      <c r="K230" s="36">
        <v>12058.43</v>
      </c>
      <c r="L230" s="35">
        <v>361.75</v>
      </c>
      <c r="M230" s="38">
        <v>241.17</v>
      </c>
      <c r="N230" s="172">
        <v>760</v>
      </c>
      <c r="O230" s="172">
        <v>200</v>
      </c>
      <c r="P230" s="37">
        <v>1059.3</v>
      </c>
      <c r="Q230" s="33"/>
      <c r="R230" s="38"/>
      <c r="S230" s="38"/>
      <c r="T230" s="38">
        <f t="shared" si="30"/>
        <v>2622.2200000000003</v>
      </c>
      <c r="U230" s="37">
        <f t="shared" si="31"/>
        <v>9436.2099999999991</v>
      </c>
      <c r="V230" s="184"/>
      <c r="W230" s="40">
        <f t="shared" si="32"/>
        <v>963</v>
      </c>
      <c r="X230" s="200">
        <f t="shared" si="33"/>
        <v>2.0062500000000001</v>
      </c>
      <c r="Y230" s="40">
        <f t="shared" si="34"/>
        <v>921.13043478260875</v>
      </c>
      <c r="Z230" s="201">
        <f t="shared" si="35"/>
        <v>1.9190217391304349</v>
      </c>
      <c r="AA230" s="126"/>
      <c r="AB230" s="126"/>
      <c r="AC230" s="127"/>
      <c r="AD230" s="127"/>
      <c r="AE230" s="128"/>
      <c r="AF230" s="128"/>
    </row>
    <row r="231" spans="1:53" ht="15" customHeight="1">
      <c r="A231" s="125">
        <v>5</v>
      </c>
      <c r="B231" s="31" t="s">
        <v>128</v>
      </c>
      <c r="C231" s="31" t="s">
        <v>24</v>
      </c>
      <c r="D231" s="34">
        <v>21186</v>
      </c>
      <c r="E231" s="149">
        <v>10</v>
      </c>
      <c r="F231" s="41">
        <v>921.13</v>
      </c>
      <c r="G231" s="35"/>
      <c r="H231" s="35"/>
      <c r="I231" s="35"/>
      <c r="J231" s="35"/>
      <c r="K231" s="36">
        <v>11137.3</v>
      </c>
      <c r="L231" s="35">
        <v>334.12</v>
      </c>
      <c r="M231" s="38">
        <v>222.75</v>
      </c>
      <c r="N231" s="172"/>
      <c r="O231" s="172"/>
      <c r="P231" s="33"/>
      <c r="Q231" s="33"/>
      <c r="R231" s="38"/>
      <c r="S231" s="38"/>
      <c r="T231" s="38">
        <f t="shared" si="30"/>
        <v>556.87</v>
      </c>
      <c r="U231" s="37">
        <f t="shared" si="31"/>
        <v>10580.429999999998</v>
      </c>
      <c r="V231" s="184"/>
      <c r="W231" s="40">
        <f t="shared" si="32"/>
        <v>963</v>
      </c>
      <c r="X231" s="200">
        <f t="shared" si="33"/>
        <v>2.0062500000000001</v>
      </c>
      <c r="Y231" s="40">
        <f t="shared" si="34"/>
        <v>921.13043478260875</v>
      </c>
      <c r="Z231" s="201">
        <f t="shared" si="35"/>
        <v>1.9190217391304349</v>
      </c>
      <c r="AA231" s="126"/>
      <c r="AB231" s="126"/>
      <c r="AC231" s="127"/>
      <c r="AD231" s="127"/>
      <c r="AE231" s="128"/>
      <c r="AF231" s="128"/>
    </row>
    <row r="232" spans="1:53" ht="15" customHeight="1">
      <c r="A232" s="125">
        <v>6</v>
      </c>
      <c r="B232" s="31" t="s">
        <v>129</v>
      </c>
      <c r="C232" s="31" t="s">
        <v>24</v>
      </c>
      <c r="D232" s="185">
        <v>21186</v>
      </c>
      <c r="E232" s="149">
        <v>11</v>
      </c>
      <c r="F232" s="41">
        <v>921.13</v>
      </c>
      <c r="G232" s="35"/>
      <c r="H232" s="35"/>
      <c r="I232" s="35"/>
      <c r="J232" s="210"/>
      <c r="K232" s="36">
        <v>12058.43</v>
      </c>
      <c r="L232" s="35">
        <v>361.75</v>
      </c>
      <c r="M232" s="38">
        <v>241.17</v>
      </c>
      <c r="N232" s="172">
        <v>760</v>
      </c>
      <c r="O232" s="172">
        <v>200</v>
      </c>
      <c r="P232" s="37">
        <v>1059.3</v>
      </c>
      <c r="Q232" s="33"/>
      <c r="R232" s="38"/>
      <c r="S232" s="38"/>
      <c r="T232" s="38">
        <f t="shared" si="30"/>
        <v>2622.2200000000003</v>
      </c>
      <c r="U232" s="37">
        <f t="shared" si="31"/>
        <v>9436.2099999999991</v>
      </c>
      <c r="V232" s="220" t="s">
        <v>164</v>
      </c>
      <c r="W232" s="40">
        <f t="shared" si="32"/>
        <v>963</v>
      </c>
      <c r="X232" s="200">
        <f t="shared" si="33"/>
        <v>2.0062500000000001</v>
      </c>
      <c r="Y232" s="40">
        <f t="shared" si="34"/>
        <v>921.13043478260875</v>
      </c>
      <c r="Z232" s="201">
        <f t="shared" si="35"/>
        <v>1.9190217391304349</v>
      </c>
      <c r="AA232" s="126"/>
      <c r="AB232" s="126"/>
      <c r="AC232" s="127"/>
      <c r="AD232" s="127"/>
      <c r="AE232" s="128"/>
      <c r="AF232" s="128"/>
    </row>
    <row r="233" spans="1:53" ht="15" customHeight="1">
      <c r="A233" s="125">
        <v>8</v>
      </c>
      <c r="B233" s="158" t="s">
        <v>130</v>
      </c>
      <c r="C233" s="158" t="s">
        <v>24</v>
      </c>
      <c r="D233" s="185">
        <v>25300.04</v>
      </c>
      <c r="E233" s="149">
        <v>11</v>
      </c>
      <c r="F233" s="41">
        <v>1100</v>
      </c>
      <c r="G233" s="35"/>
      <c r="H233" s="35"/>
      <c r="I233" s="35"/>
      <c r="J233" s="35"/>
      <c r="K233" s="36">
        <v>14400</v>
      </c>
      <c r="L233" s="35">
        <v>432</v>
      </c>
      <c r="M233" s="38">
        <v>288</v>
      </c>
      <c r="N233" s="172">
        <v>760</v>
      </c>
      <c r="O233" s="172">
        <v>200</v>
      </c>
      <c r="P233" s="37">
        <v>1265</v>
      </c>
      <c r="Q233" s="33"/>
      <c r="R233" s="38"/>
      <c r="S233" s="38"/>
      <c r="T233" s="38">
        <f t="shared" si="30"/>
        <v>2945</v>
      </c>
      <c r="U233" s="37">
        <f t="shared" si="31"/>
        <v>11455</v>
      </c>
      <c r="V233" s="184"/>
      <c r="W233" s="40">
        <f t="shared" si="32"/>
        <v>1150.0018181818182</v>
      </c>
      <c r="X233" s="200">
        <f t="shared" si="33"/>
        <v>2.395837121212121</v>
      </c>
      <c r="Y233" s="40">
        <f t="shared" si="34"/>
        <v>1100.0017391304348</v>
      </c>
      <c r="Z233" s="201">
        <f t="shared" si="35"/>
        <v>2.2916702898550723</v>
      </c>
      <c r="AA233" s="126"/>
      <c r="AB233" s="126"/>
      <c r="AC233" s="127"/>
      <c r="AD233" s="127"/>
      <c r="AE233" s="128"/>
      <c r="AF233" s="128"/>
    </row>
    <row r="234" spans="1:53" ht="15" customHeight="1">
      <c r="A234" s="125">
        <v>9</v>
      </c>
      <c r="B234" s="158" t="s">
        <v>131</v>
      </c>
      <c r="C234" s="31" t="s">
        <v>24</v>
      </c>
      <c r="D234" s="185">
        <v>21186</v>
      </c>
      <c r="E234" s="149">
        <v>11</v>
      </c>
      <c r="F234" s="41">
        <v>921.13</v>
      </c>
      <c r="G234" s="35"/>
      <c r="H234" s="35"/>
      <c r="I234" s="35"/>
      <c r="J234" s="35"/>
      <c r="K234" s="36">
        <v>12027.71</v>
      </c>
      <c r="L234" s="35">
        <v>360.83</v>
      </c>
      <c r="M234" s="38">
        <v>240.55</v>
      </c>
      <c r="N234" s="172">
        <v>760</v>
      </c>
      <c r="O234" s="172">
        <v>200</v>
      </c>
      <c r="P234" s="37">
        <v>1059.3</v>
      </c>
      <c r="Q234" s="33"/>
      <c r="R234" s="38"/>
      <c r="S234" s="38"/>
      <c r="T234" s="38">
        <f t="shared" si="30"/>
        <v>2620.6800000000003</v>
      </c>
      <c r="U234" s="37">
        <f t="shared" si="31"/>
        <v>9407.0299999999988</v>
      </c>
      <c r="V234" s="184"/>
      <c r="W234" s="40">
        <f t="shared" si="32"/>
        <v>963</v>
      </c>
      <c r="X234" s="200">
        <f t="shared" si="33"/>
        <v>2.0062500000000001</v>
      </c>
      <c r="Y234" s="40">
        <f t="shared" si="34"/>
        <v>921.13043478260875</v>
      </c>
      <c r="Z234" s="201">
        <f t="shared" si="35"/>
        <v>1.9190217391304349</v>
      </c>
      <c r="AA234" s="126"/>
      <c r="AB234" s="126"/>
      <c r="AC234" s="127"/>
      <c r="AD234" s="127"/>
      <c r="AE234" s="128"/>
      <c r="AF234" s="128"/>
    </row>
    <row r="235" spans="1:53" s="193" customFormat="1" ht="15" customHeight="1">
      <c r="A235" s="125">
        <v>10</v>
      </c>
      <c r="B235" s="186" t="s">
        <v>132</v>
      </c>
      <c r="C235" s="187" t="s">
        <v>24</v>
      </c>
      <c r="D235" s="34">
        <v>21186</v>
      </c>
      <c r="E235" s="149">
        <v>10</v>
      </c>
      <c r="F235" s="41">
        <v>921.13</v>
      </c>
      <c r="G235" s="35"/>
      <c r="H235" s="35"/>
      <c r="I235" s="35"/>
      <c r="J235" s="35"/>
      <c r="K235" s="36">
        <v>11137.3</v>
      </c>
      <c r="L235" s="35">
        <v>334.12</v>
      </c>
      <c r="M235" s="38">
        <v>222.75</v>
      </c>
      <c r="N235" s="221"/>
      <c r="O235" s="221"/>
      <c r="P235" s="188"/>
      <c r="Q235" s="188"/>
      <c r="R235" s="38"/>
      <c r="S235" s="38"/>
      <c r="T235" s="38">
        <f t="shared" si="30"/>
        <v>556.87</v>
      </c>
      <c r="U235" s="37">
        <f t="shared" si="31"/>
        <v>10580.429999999998</v>
      </c>
      <c r="V235" s="189"/>
      <c r="W235" s="40">
        <f t="shared" si="32"/>
        <v>963</v>
      </c>
      <c r="X235" s="200">
        <f t="shared" si="33"/>
        <v>2.0062500000000001</v>
      </c>
      <c r="Y235" s="40">
        <f t="shared" si="34"/>
        <v>921.13043478260875</v>
      </c>
      <c r="Z235" s="201">
        <f t="shared" si="35"/>
        <v>1.9190217391304349</v>
      </c>
      <c r="AA235" s="190"/>
      <c r="AB235" s="190"/>
      <c r="AC235" s="191"/>
      <c r="AD235" s="191"/>
      <c r="AE235" s="192"/>
      <c r="AF235" s="192"/>
    </row>
    <row r="236" spans="1:53" s="59" customFormat="1" ht="16.5" customHeight="1" thickBot="1">
      <c r="A236" s="151"/>
      <c r="B236" s="152"/>
      <c r="C236" s="153"/>
      <c r="D236" s="153"/>
      <c r="E236" s="153"/>
      <c r="F236" s="154"/>
      <c r="G236" s="156"/>
      <c r="H236" s="156"/>
      <c r="I236" s="156"/>
      <c r="J236" s="156"/>
      <c r="K236" s="156">
        <f>SUM(K227:K235)</f>
        <v>108067.39</v>
      </c>
      <c r="L236" s="156">
        <f t="shared" ref="L236:T236" si="36">SUM(L227:L235)</f>
        <v>3242.0099999999998</v>
      </c>
      <c r="M236" s="156">
        <f t="shared" si="36"/>
        <v>2161.3599999999997</v>
      </c>
      <c r="N236" s="156">
        <f t="shared" si="36"/>
        <v>5320</v>
      </c>
      <c r="O236" s="156">
        <f t="shared" si="36"/>
        <v>1400</v>
      </c>
      <c r="P236" s="156">
        <f>SUM(P227:P235)</f>
        <v>7620.8</v>
      </c>
      <c r="Q236" s="156">
        <f t="shared" si="36"/>
        <v>0</v>
      </c>
      <c r="R236" s="156">
        <f t="shared" si="36"/>
        <v>0</v>
      </c>
      <c r="S236" s="156">
        <f t="shared" si="36"/>
        <v>0</v>
      </c>
      <c r="T236" s="156">
        <f t="shared" si="36"/>
        <v>19744.170000000002</v>
      </c>
      <c r="U236" s="156">
        <f>SUM(U227:U235)</f>
        <v>88323.219999999987</v>
      </c>
      <c r="V236" s="157"/>
      <c r="Z236" s="40"/>
    </row>
    <row r="237" spans="1:53" s="67" customFormat="1" ht="13.5" customHeight="1" thickTop="1">
      <c r="A237" s="57" t="s">
        <v>47</v>
      </c>
      <c r="B237" s="58"/>
      <c r="C237" s="58"/>
      <c r="D237" s="58"/>
      <c r="E237" s="59"/>
      <c r="F237" s="60" t="s">
        <v>48</v>
      </c>
      <c r="G237" s="59"/>
      <c r="H237" s="59"/>
      <c r="I237" s="59"/>
      <c r="J237" s="59"/>
      <c r="K237" s="61" t="s">
        <v>49</v>
      </c>
      <c r="L237" s="61" t="s">
        <v>50</v>
      </c>
      <c r="M237" s="62" t="s">
        <v>51</v>
      </c>
      <c r="N237" s="204"/>
      <c r="O237" s="63"/>
      <c r="P237" s="63"/>
      <c r="Q237" s="63"/>
      <c r="R237" s="62"/>
      <c r="S237" s="62"/>
      <c r="T237" s="64"/>
      <c r="U237" s="65">
        <f>U236</f>
        <v>88323.219999999987</v>
      </c>
      <c r="V237" s="66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</row>
    <row r="238" spans="1:53" ht="13.5" customHeight="1">
      <c r="A238" s="57"/>
      <c r="B238" s="58"/>
      <c r="C238" s="58"/>
      <c r="D238" s="58"/>
      <c r="E238" s="59"/>
      <c r="F238" s="68" t="s">
        <v>52</v>
      </c>
      <c r="G238" s="58" t="s">
        <v>53</v>
      </c>
      <c r="H238" s="58"/>
      <c r="I238" s="58"/>
      <c r="J238" s="58"/>
      <c r="K238" s="69">
        <f>K236</f>
        <v>108067.39</v>
      </c>
      <c r="L238" s="70">
        <v>0</v>
      </c>
      <c r="M238" s="71"/>
      <c r="N238" s="106"/>
      <c r="O238" s="71"/>
      <c r="P238" s="71"/>
      <c r="Q238" s="71"/>
      <c r="R238" s="62"/>
      <c r="S238" s="62"/>
      <c r="T238" s="59"/>
      <c r="U238" s="59"/>
      <c r="V238" s="72"/>
      <c r="X238" s="5"/>
      <c r="Z238" s="5"/>
    </row>
    <row r="239" spans="1:53" ht="13.5" customHeight="1">
      <c r="A239" s="73"/>
      <c r="B239" s="74"/>
      <c r="C239" s="64"/>
      <c r="D239" s="64"/>
      <c r="E239" s="59"/>
      <c r="F239" s="68" t="s">
        <v>54</v>
      </c>
      <c r="G239" s="59" t="s">
        <v>55</v>
      </c>
      <c r="H239" s="59"/>
      <c r="I239" s="59"/>
      <c r="J239" s="59"/>
      <c r="K239" s="69"/>
      <c r="L239" s="75">
        <f>L236+M236</f>
        <v>5403.369999999999</v>
      </c>
      <c r="M239" s="76"/>
      <c r="N239" s="205"/>
      <c r="O239" s="76"/>
      <c r="P239" s="76"/>
      <c r="Q239" s="76"/>
      <c r="R239" s="62"/>
      <c r="S239" s="62"/>
      <c r="T239" s="77"/>
      <c r="U239" s="59"/>
      <c r="V239" s="72"/>
      <c r="X239" s="5"/>
      <c r="Z239" s="5"/>
    </row>
    <row r="240" spans="1:53" ht="13.5" customHeight="1">
      <c r="A240" s="78" t="s">
        <v>56</v>
      </c>
      <c r="B240" s="79"/>
      <c r="C240" s="79"/>
      <c r="D240" s="79"/>
      <c r="E240" s="80"/>
      <c r="F240" s="68" t="s">
        <v>57</v>
      </c>
      <c r="G240" s="59" t="s">
        <v>58</v>
      </c>
      <c r="H240" s="59"/>
      <c r="I240" s="59"/>
      <c r="J240" s="59"/>
      <c r="K240" s="81"/>
      <c r="L240" s="75"/>
      <c r="M240" s="76"/>
      <c r="N240" s="82" t="s">
        <v>59</v>
      </c>
      <c r="O240" s="82"/>
      <c r="P240" s="82"/>
      <c r="Q240" s="82"/>
      <c r="R240" s="82"/>
      <c r="S240" s="82"/>
      <c r="T240" s="82"/>
      <c r="U240" s="82"/>
      <c r="V240" s="83"/>
      <c r="X240" s="5"/>
      <c r="Z240" s="5"/>
    </row>
    <row r="241" spans="1:26" ht="13.5" customHeight="1">
      <c r="A241" s="84" t="s">
        <v>60</v>
      </c>
      <c r="B241" s="85"/>
      <c r="C241" s="85"/>
      <c r="D241" s="85"/>
      <c r="E241" s="86"/>
      <c r="F241" s="68" t="s">
        <v>57</v>
      </c>
      <c r="G241" s="59" t="s">
        <v>99</v>
      </c>
      <c r="H241" s="59"/>
      <c r="I241" s="59"/>
      <c r="J241" s="59"/>
      <c r="K241" s="87"/>
      <c r="L241" s="75"/>
      <c r="M241" s="76"/>
      <c r="N241" s="85" t="s">
        <v>62</v>
      </c>
      <c r="O241" s="85"/>
      <c r="P241" s="85"/>
      <c r="Q241" s="85"/>
      <c r="R241" s="85"/>
      <c r="S241" s="85"/>
      <c r="T241" s="85"/>
      <c r="U241" s="85"/>
      <c r="V241" s="88"/>
      <c r="X241" s="5"/>
      <c r="Z241" s="5"/>
    </row>
    <row r="242" spans="1:26" ht="13.5" customHeight="1">
      <c r="A242" s="73"/>
      <c r="B242" s="64"/>
      <c r="C242" s="64"/>
      <c r="D242" s="64"/>
      <c r="E242" s="59"/>
      <c r="F242" s="68" t="s">
        <v>57</v>
      </c>
      <c r="G242" s="59" t="s">
        <v>63</v>
      </c>
      <c r="H242" s="59"/>
      <c r="I242" s="59"/>
      <c r="J242" s="59"/>
      <c r="K242" s="87"/>
      <c r="L242" s="75">
        <f>N236</f>
        <v>5320</v>
      </c>
      <c r="M242" s="76"/>
      <c r="N242" s="205"/>
      <c r="O242" s="76"/>
      <c r="P242" s="76"/>
      <c r="Q242" s="76"/>
      <c r="R242" s="64"/>
      <c r="S242" s="64"/>
      <c r="T242" s="59"/>
      <c r="U242" s="59"/>
      <c r="V242" s="72"/>
      <c r="X242" s="5"/>
      <c r="Z242" s="5"/>
    </row>
    <row r="243" spans="1:26" ht="13.5" customHeight="1">
      <c r="A243" s="89"/>
      <c r="B243" s="74"/>
      <c r="C243" s="58"/>
      <c r="D243" s="58"/>
      <c r="E243" s="59"/>
      <c r="F243" s="68" t="s">
        <v>140</v>
      </c>
      <c r="G243" s="206" t="s">
        <v>141</v>
      </c>
      <c r="H243" s="59"/>
      <c r="I243" s="59"/>
      <c r="J243" s="59"/>
      <c r="K243" s="81"/>
      <c r="L243" s="75">
        <f>O236</f>
        <v>1400</v>
      </c>
      <c r="M243" s="76"/>
      <c r="N243" s="205"/>
      <c r="O243" s="76"/>
      <c r="P243" s="76"/>
      <c r="Q243" s="76"/>
      <c r="R243" s="64"/>
      <c r="S243" s="64"/>
      <c r="T243" s="64"/>
      <c r="U243" s="64"/>
      <c r="V243" s="66"/>
      <c r="X243" s="5"/>
      <c r="Z243" s="5"/>
    </row>
    <row r="244" spans="1:26" ht="13.5" customHeight="1">
      <c r="A244" s="89"/>
      <c r="B244" s="74"/>
      <c r="C244" s="58"/>
      <c r="D244" s="58"/>
      <c r="E244" s="59"/>
      <c r="F244" s="68" t="s">
        <v>142</v>
      </c>
      <c r="G244" s="206" t="s">
        <v>143</v>
      </c>
      <c r="H244" s="59"/>
      <c r="I244" s="59"/>
      <c r="J244" s="59"/>
      <c r="K244" s="81"/>
      <c r="L244" s="75">
        <f>P236</f>
        <v>7620.8</v>
      </c>
      <c r="M244" s="76"/>
      <c r="N244" s="205"/>
      <c r="O244" s="76"/>
      <c r="P244" s="76"/>
      <c r="Q244" s="76"/>
      <c r="R244" s="64"/>
      <c r="S244" s="64"/>
      <c r="T244" s="64"/>
      <c r="U244" s="64"/>
      <c r="V244" s="64"/>
      <c r="X244" s="5"/>
      <c r="Z244" s="5"/>
    </row>
    <row r="245" spans="1:26" ht="13.5" customHeight="1">
      <c r="A245" s="73" t="s">
        <v>65</v>
      </c>
      <c r="B245" s="64"/>
      <c r="C245" s="58"/>
      <c r="D245" s="58"/>
      <c r="E245" s="59"/>
      <c r="F245" s="68" t="s">
        <v>66</v>
      </c>
      <c r="G245" s="59" t="s">
        <v>67</v>
      </c>
      <c r="H245" s="59"/>
      <c r="I245" s="59"/>
      <c r="J245" s="59"/>
      <c r="K245" s="81"/>
      <c r="L245" s="75">
        <f>U237</f>
        <v>88323.219999999987</v>
      </c>
      <c r="M245" s="76"/>
      <c r="N245" s="205"/>
      <c r="O245" s="76"/>
      <c r="P245" s="76"/>
      <c r="Q245" s="76"/>
      <c r="R245" s="64"/>
      <c r="S245" s="64"/>
      <c r="T245" s="64"/>
      <c r="U245" s="64"/>
      <c r="V245" s="194">
        <f>Q245*0.03</f>
        <v>0</v>
      </c>
      <c r="X245" s="5"/>
      <c r="Y245" s="5" t="s">
        <v>68</v>
      </c>
      <c r="Z245" s="5"/>
    </row>
    <row r="246" spans="1:26" ht="13.5" customHeight="1">
      <c r="A246" s="73"/>
      <c r="B246" s="64"/>
      <c r="C246" s="58"/>
      <c r="D246" s="58"/>
      <c r="E246" s="59"/>
      <c r="F246" s="68"/>
      <c r="G246" s="59"/>
      <c r="H246" s="59"/>
      <c r="I246" s="59"/>
      <c r="J246" s="59"/>
      <c r="K246" s="81"/>
      <c r="L246" s="75"/>
      <c r="M246" s="76"/>
      <c r="N246" s="205"/>
      <c r="O246" s="76"/>
      <c r="P246" s="76"/>
      <c r="Q246" s="76"/>
      <c r="R246" s="64"/>
      <c r="S246" s="64"/>
      <c r="T246" s="64"/>
      <c r="U246" s="64"/>
      <c r="V246" s="195"/>
      <c r="X246" s="5"/>
      <c r="Z246" s="5"/>
    </row>
    <row r="247" spans="1:26" ht="13.5" customHeight="1">
      <c r="A247" s="73"/>
      <c r="B247" s="58"/>
      <c r="C247" s="58"/>
      <c r="D247" s="58"/>
      <c r="E247" s="59"/>
      <c r="F247" s="90"/>
      <c r="G247" s="59"/>
      <c r="H247" s="59"/>
      <c r="I247" s="59"/>
      <c r="J247" s="59"/>
      <c r="K247" s="81"/>
      <c r="L247" s="75"/>
      <c r="M247" s="76"/>
      <c r="N247" s="205"/>
      <c r="O247" s="76"/>
      <c r="P247" s="76"/>
      <c r="Q247" s="76"/>
      <c r="R247" s="64"/>
      <c r="S247" s="64"/>
      <c r="T247" s="64"/>
      <c r="U247" s="64"/>
      <c r="V247" s="195"/>
      <c r="X247" s="5"/>
      <c r="Z247" s="5"/>
    </row>
    <row r="248" spans="1:26" ht="13.5" customHeight="1">
      <c r="A248" s="91" t="s">
        <v>69</v>
      </c>
      <c r="B248" s="82"/>
      <c r="C248" s="82"/>
      <c r="D248" s="82"/>
      <c r="E248" s="92"/>
      <c r="F248" s="90"/>
      <c r="G248" s="59"/>
      <c r="H248" s="59"/>
      <c r="I248" s="59"/>
      <c r="J248" s="59"/>
      <c r="K248" s="81"/>
      <c r="L248" s="75"/>
      <c r="M248" s="93" t="s">
        <v>70</v>
      </c>
      <c r="N248" s="93"/>
      <c r="O248" s="93"/>
      <c r="P248" s="93"/>
      <c r="Q248" s="93"/>
      <c r="R248" s="93"/>
      <c r="S248" s="93"/>
      <c r="T248" s="93"/>
      <c r="U248" s="93"/>
      <c r="V248" s="94"/>
      <c r="X248" s="5"/>
      <c r="Z248" s="5"/>
    </row>
    <row r="249" spans="1:26" ht="13.5" customHeight="1">
      <c r="A249" s="84" t="s">
        <v>71</v>
      </c>
      <c r="B249" s="85"/>
      <c r="C249" s="85"/>
      <c r="D249" s="85"/>
      <c r="E249" s="86"/>
      <c r="F249" s="90"/>
      <c r="G249" s="59"/>
      <c r="H249" s="59"/>
      <c r="I249" s="59"/>
      <c r="J249" s="59"/>
      <c r="K249" s="87"/>
      <c r="L249" s="75"/>
      <c r="M249" s="93"/>
      <c r="N249" s="93"/>
      <c r="O249" s="93"/>
      <c r="P249" s="93"/>
      <c r="Q249" s="93"/>
      <c r="R249" s="93"/>
      <c r="S249" s="93"/>
      <c r="T249" s="93"/>
      <c r="U249" s="93"/>
      <c r="V249" s="94"/>
      <c r="X249" s="5"/>
      <c r="Y249" s="150">
        <f>U20+U70+U103+U142+U170+U202+U237+'[1]PER HOUR July 1-15.2026'!O10</f>
        <v>608729.82999999996</v>
      </c>
      <c r="Z249" s="5"/>
    </row>
    <row r="250" spans="1:26" ht="13.5" customHeight="1">
      <c r="A250" s="95"/>
      <c r="B250" s="96"/>
      <c r="C250" s="96"/>
      <c r="D250" s="64"/>
      <c r="E250" s="59"/>
      <c r="F250" s="90"/>
      <c r="G250" s="59"/>
      <c r="H250" s="59"/>
      <c r="I250" s="59"/>
      <c r="J250" s="59"/>
      <c r="K250" s="87"/>
      <c r="L250" s="75"/>
      <c r="M250" s="76"/>
      <c r="N250" s="205"/>
      <c r="O250" s="76"/>
      <c r="P250" s="76"/>
      <c r="Q250" s="76"/>
      <c r="R250" s="97"/>
      <c r="S250" s="97"/>
      <c r="T250" s="97"/>
      <c r="U250" s="97"/>
      <c r="V250" s="98"/>
      <c r="X250" s="5"/>
      <c r="Z250" s="5"/>
    </row>
    <row r="251" spans="1:26" ht="13.5" customHeight="1">
      <c r="A251" s="73" t="s">
        <v>72</v>
      </c>
      <c r="B251" s="58"/>
      <c r="C251" s="58"/>
      <c r="D251" s="99">
        <f>K236</f>
        <v>108067.39</v>
      </c>
      <c r="E251" s="100"/>
      <c r="F251" s="90"/>
      <c r="G251" s="64"/>
      <c r="H251" s="64"/>
      <c r="I251" s="64"/>
      <c r="J251" s="64"/>
      <c r="K251" s="87"/>
      <c r="L251" s="87"/>
      <c r="M251" s="59"/>
      <c r="N251" s="207"/>
      <c r="O251" s="59"/>
      <c r="P251" s="59"/>
      <c r="Q251" s="59"/>
      <c r="R251" s="101"/>
      <c r="S251" s="101"/>
      <c r="T251" s="101"/>
      <c r="U251" s="101"/>
      <c r="V251" s="98"/>
      <c r="X251" s="5"/>
      <c r="Z251" s="5"/>
    </row>
    <row r="252" spans="1:26" ht="13.5" customHeight="1">
      <c r="A252" s="73"/>
      <c r="B252" s="58"/>
      <c r="C252" s="58"/>
      <c r="D252" s="99"/>
      <c r="E252" s="100"/>
      <c r="F252" s="90"/>
      <c r="G252" s="64"/>
      <c r="H252" s="64"/>
      <c r="I252" s="64"/>
      <c r="J252" s="64"/>
      <c r="K252" s="87"/>
      <c r="L252" s="87"/>
      <c r="M252" s="59"/>
      <c r="N252" s="207"/>
      <c r="O252" s="59"/>
      <c r="P252" s="59"/>
      <c r="Q252" s="59"/>
      <c r="R252" s="102" t="s">
        <v>73</v>
      </c>
      <c r="S252" s="102"/>
      <c r="T252" s="102"/>
      <c r="U252" s="102"/>
      <c r="V252" s="103" t="s">
        <v>74</v>
      </c>
      <c r="X252" s="5"/>
      <c r="Z252" s="5"/>
    </row>
    <row r="253" spans="1:26" ht="13.5" customHeight="1">
      <c r="A253" s="91" t="s">
        <v>75</v>
      </c>
      <c r="B253" s="82"/>
      <c r="C253" s="82"/>
      <c r="D253" s="82"/>
      <c r="E253" s="92"/>
      <c r="F253" s="90"/>
      <c r="G253" s="64"/>
      <c r="H253" s="64"/>
      <c r="I253" s="64"/>
      <c r="J253" s="64"/>
      <c r="K253" s="87"/>
      <c r="L253" s="87"/>
      <c r="M253" s="59"/>
      <c r="N253" s="207"/>
      <c r="O253" s="59"/>
      <c r="P253" s="59"/>
      <c r="Q253" s="59"/>
      <c r="R253" s="85" t="s">
        <v>76</v>
      </c>
      <c r="S253" s="85"/>
      <c r="T253" s="85"/>
      <c r="U253" s="85"/>
      <c r="V253" s="105" t="s">
        <v>77</v>
      </c>
      <c r="X253" s="5"/>
      <c r="Z253" s="5"/>
    </row>
    <row r="254" spans="1:26" ht="13.5" customHeight="1">
      <c r="A254" s="84" t="s">
        <v>78</v>
      </c>
      <c r="B254" s="85"/>
      <c r="C254" s="85"/>
      <c r="D254" s="85"/>
      <c r="E254" s="85"/>
      <c r="F254" s="90"/>
      <c r="G254" s="15"/>
      <c r="H254" s="15"/>
      <c r="I254" s="15"/>
      <c r="J254" s="15"/>
      <c r="K254" s="107"/>
      <c r="L254" s="87"/>
      <c r="M254" s="62"/>
      <c r="N254" s="208"/>
      <c r="O254" s="62"/>
      <c r="P254" s="62"/>
      <c r="Q254" s="62"/>
      <c r="R254" s="108"/>
      <c r="S254" s="108"/>
      <c r="T254" s="108"/>
      <c r="U254" s="108"/>
      <c r="V254" s="109"/>
      <c r="X254" s="5"/>
      <c r="Z254" s="5"/>
    </row>
    <row r="255" spans="1:26" ht="13.5" customHeight="1" thickBot="1">
      <c r="A255" s="110"/>
      <c r="B255" s="111"/>
      <c r="C255" s="111"/>
      <c r="D255" s="112"/>
      <c r="E255" s="113"/>
      <c r="F255" s="114"/>
      <c r="G255" s="115"/>
      <c r="H255" s="115"/>
      <c r="I255" s="115"/>
      <c r="J255" s="115"/>
      <c r="K255" s="116">
        <f>SUM(K238:K254)</f>
        <v>108067.39</v>
      </c>
      <c r="L255" s="117">
        <f>SUM(L238:L254)</f>
        <v>108067.38999999998</v>
      </c>
      <c r="M255" s="118"/>
      <c r="N255" s="209"/>
      <c r="O255" s="118"/>
      <c r="P255" s="118"/>
      <c r="Q255" s="118"/>
      <c r="R255" s="119"/>
      <c r="S255" s="119"/>
      <c r="T255" s="119"/>
      <c r="U255" s="119"/>
      <c r="V255" s="120"/>
      <c r="X255" s="5"/>
      <c r="Z255" s="5"/>
    </row>
    <row r="256" spans="1:26">
      <c r="X256" s="5"/>
      <c r="Z256" s="5"/>
    </row>
    <row r="257" spans="1:53">
      <c r="X257" s="5"/>
      <c r="Z257" s="5"/>
    </row>
    <row r="258" spans="1:53">
      <c r="X258" s="5"/>
      <c r="Z258" s="5"/>
    </row>
    <row r="259" spans="1:53">
      <c r="X259" s="5"/>
      <c r="Z259" s="5"/>
    </row>
    <row r="260" spans="1:53">
      <c r="X260" s="5"/>
      <c r="Z260" s="5"/>
    </row>
    <row r="261" spans="1:53">
      <c r="X261" s="5"/>
      <c r="Z261" s="5"/>
    </row>
    <row r="262" spans="1:53" s="148" customFormat="1">
      <c r="A262" s="141"/>
      <c r="B262" s="5"/>
      <c r="C262" s="5"/>
      <c r="D262" s="17"/>
      <c r="E262" s="18"/>
      <c r="F262" s="17"/>
      <c r="G262" s="19"/>
      <c r="H262" s="20"/>
      <c r="I262" s="20"/>
      <c r="J262" s="20"/>
      <c r="K262" s="17"/>
      <c r="L262" s="17"/>
      <c r="M262" s="17"/>
      <c r="N262" s="197"/>
      <c r="O262" s="17"/>
      <c r="P262" s="17"/>
      <c r="Q262" s="17"/>
      <c r="R262" s="17"/>
      <c r="S262" s="17"/>
      <c r="T262" s="17"/>
      <c r="U262" s="18"/>
      <c r="V262" s="196" t="e">
        <f>N49+N134+#REF!</f>
        <v>#REF!</v>
      </c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</row>
    <row r="263" spans="1:53">
      <c r="X263" s="5"/>
      <c r="Z263" s="5"/>
    </row>
    <row r="264" spans="1:53">
      <c r="L264" s="222">
        <f>P19+P69+P102+P141+P169+P201+P236</f>
        <v>45153.68</v>
      </c>
      <c r="M264" s="222">
        <f>L264-45583.06</f>
        <v>-429.37999999999738</v>
      </c>
    </row>
  </sheetData>
  <mergeCells count="153">
    <mergeCell ref="D252:E252"/>
    <mergeCell ref="R252:U252"/>
    <mergeCell ref="A253:E253"/>
    <mergeCell ref="R253:U253"/>
    <mergeCell ref="A254:E254"/>
    <mergeCell ref="A255:C255"/>
    <mergeCell ref="R255:V255"/>
    <mergeCell ref="N241:V241"/>
    <mergeCell ref="A248:E248"/>
    <mergeCell ref="M248:V249"/>
    <mergeCell ref="B250:C250"/>
    <mergeCell ref="R250:U250"/>
    <mergeCell ref="D251:E251"/>
    <mergeCell ref="D217:E217"/>
    <mergeCell ref="R217:U217"/>
    <mergeCell ref="A218:E218"/>
    <mergeCell ref="R218:U218"/>
    <mergeCell ref="A219:E219"/>
    <mergeCell ref="A220:C220"/>
    <mergeCell ref="R220:V220"/>
    <mergeCell ref="A205:E205"/>
    <mergeCell ref="N205:V205"/>
    <mergeCell ref="A206:E206"/>
    <mergeCell ref="N206:V206"/>
    <mergeCell ref="A213:E213"/>
    <mergeCell ref="M213:V214"/>
    <mergeCell ref="R186:U186"/>
    <mergeCell ref="A187:E187"/>
    <mergeCell ref="A188:C188"/>
    <mergeCell ref="R188:V188"/>
    <mergeCell ref="A190:V190"/>
    <mergeCell ref="A191:V191"/>
    <mergeCell ref="A174:E174"/>
    <mergeCell ref="N174:V174"/>
    <mergeCell ref="A181:E181"/>
    <mergeCell ref="M181:V182"/>
    <mergeCell ref="A182:E182"/>
    <mergeCell ref="B183:C183"/>
    <mergeCell ref="R183:U183"/>
    <mergeCell ref="A163:V163"/>
    <mergeCell ref="A164:V164"/>
    <mergeCell ref="A165:V165"/>
    <mergeCell ref="U166:V166"/>
    <mergeCell ref="A173:E173"/>
    <mergeCell ref="N173:V173"/>
    <mergeCell ref="A158:E158"/>
    <mergeCell ref="R158:U158"/>
    <mergeCell ref="A159:E159"/>
    <mergeCell ref="A160:C160"/>
    <mergeCell ref="R160:V160"/>
    <mergeCell ref="A162:V162"/>
    <mergeCell ref="A126:V126"/>
    <mergeCell ref="U127:V127"/>
    <mergeCell ref="N145:V145"/>
    <mergeCell ref="A146:E146"/>
    <mergeCell ref="N146:V146"/>
    <mergeCell ref="A153:E153"/>
    <mergeCell ref="M153:V154"/>
    <mergeCell ref="A154:E154"/>
    <mergeCell ref="A120:E120"/>
    <mergeCell ref="A121:C121"/>
    <mergeCell ref="R121:V121"/>
    <mergeCell ref="A123:V123"/>
    <mergeCell ref="A124:V124"/>
    <mergeCell ref="A125:V125"/>
    <mergeCell ref="B116:C116"/>
    <mergeCell ref="R116:U116"/>
    <mergeCell ref="D117:E117"/>
    <mergeCell ref="D118:E118"/>
    <mergeCell ref="R118:U118"/>
    <mergeCell ref="A119:E119"/>
    <mergeCell ref="R119:U119"/>
    <mergeCell ref="R88:V88"/>
    <mergeCell ref="A90:V90"/>
    <mergeCell ref="A91:V91"/>
    <mergeCell ref="A93:V93"/>
    <mergeCell ref="A94:V94"/>
    <mergeCell ref="U96:V96"/>
    <mergeCell ref="N73:V73"/>
    <mergeCell ref="N74:V74"/>
    <mergeCell ref="A81:E81"/>
    <mergeCell ref="M81:V82"/>
    <mergeCell ref="A82:E82"/>
    <mergeCell ref="B83:C83"/>
    <mergeCell ref="R83:U83"/>
    <mergeCell ref="R36:U36"/>
    <mergeCell ref="A37:E37"/>
    <mergeCell ref="A38:C38"/>
    <mergeCell ref="R38:V38"/>
    <mergeCell ref="A40:V40"/>
    <mergeCell ref="A41:V41"/>
    <mergeCell ref="A1:V1"/>
    <mergeCell ref="A2:V2"/>
    <mergeCell ref="A3:V3"/>
    <mergeCell ref="A4:V4"/>
    <mergeCell ref="U5:V5"/>
    <mergeCell ref="N23:V23"/>
    <mergeCell ref="N24:V24"/>
    <mergeCell ref="M31:V32"/>
    <mergeCell ref="A249:E249"/>
    <mergeCell ref="A240:E240"/>
    <mergeCell ref="N240:V240"/>
    <mergeCell ref="A241:E241"/>
    <mergeCell ref="A222:V222"/>
    <mergeCell ref="A223:V223"/>
    <mergeCell ref="A224:V224"/>
    <mergeCell ref="U225:V225"/>
    <mergeCell ref="A214:E214"/>
    <mergeCell ref="B215:C215"/>
    <mergeCell ref="R215:U215"/>
    <mergeCell ref="D216:E216"/>
    <mergeCell ref="A193:V193"/>
    <mergeCell ref="A194:V194"/>
    <mergeCell ref="U196:V196"/>
    <mergeCell ref="D184:E184"/>
    <mergeCell ref="D185:E185"/>
    <mergeCell ref="R185:U185"/>
    <mergeCell ref="A186:E186"/>
    <mergeCell ref="D157:E157"/>
    <mergeCell ref="R157:U157"/>
    <mergeCell ref="B155:C155"/>
    <mergeCell ref="R155:U155"/>
    <mergeCell ref="D156:E156"/>
    <mergeCell ref="A145:E145"/>
    <mergeCell ref="A114:E114"/>
    <mergeCell ref="M114:V115"/>
    <mergeCell ref="A115:E115"/>
    <mergeCell ref="A106:E106"/>
    <mergeCell ref="N106:V106"/>
    <mergeCell ref="A107:E107"/>
    <mergeCell ref="N107:V107"/>
    <mergeCell ref="A86:E86"/>
    <mergeCell ref="R86:U86"/>
    <mergeCell ref="A87:E87"/>
    <mergeCell ref="A88:C88"/>
    <mergeCell ref="D84:E84"/>
    <mergeCell ref="D85:E85"/>
    <mergeCell ref="R85:U85"/>
    <mergeCell ref="A73:E73"/>
    <mergeCell ref="A74:E74"/>
    <mergeCell ref="A43:V43"/>
    <mergeCell ref="U44:V44"/>
    <mergeCell ref="A42:V42"/>
    <mergeCell ref="D34:E34"/>
    <mergeCell ref="A36:E36"/>
    <mergeCell ref="B33:C33"/>
    <mergeCell ref="R33:U33"/>
    <mergeCell ref="D35:E35"/>
    <mergeCell ref="R35:U35"/>
    <mergeCell ref="A24:E24"/>
    <mergeCell ref="A31:E31"/>
    <mergeCell ref="A32:E32"/>
    <mergeCell ref="A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CEE0-4F1B-4E39-B3B9-0376C99CF57B}">
  <dimension ref="A1:AH144"/>
  <sheetViews>
    <sheetView workbookViewId="0">
      <selection activeCell="L18" sqref="L18"/>
    </sheetView>
  </sheetViews>
  <sheetFormatPr defaultRowHeight="15"/>
  <cols>
    <col min="1" max="1" width="3.85546875" customWidth="1"/>
    <col min="2" max="2" width="26.85546875" style="541" customWidth="1"/>
    <col min="3" max="3" width="9.85546875" customWidth="1"/>
    <col min="4" max="4" width="24.85546875" customWidth="1"/>
    <col min="5" max="5" width="10" style="228" customWidth="1"/>
    <col min="6" max="6" width="10.85546875" customWidth="1"/>
    <col min="7" max="7" width="12.85546875" style="239" customWidth="1"/>
    <col min="8" max="8" width="12.5703125" style="240" customWidth="1"/>
    <col min="9" max="9" width="10.140625" style="240" customWidth="1"/>
    <col min="10" max="10" width="14.42578125" style="240" customWidth="1"/>
    <col min="11" max="11" width="9.28515625" style="241" customWidth="1"/>
    <col min="12" max="12" width="7.7109375" style="241" customWidth="1"/>
    <col min="13" max="14" width="11.28515625" customWidth="1"/>
    <col min="15" max="15" width="10.28515625" style="543" customWidth="1"/>
    <col min="16" max="16" width="10.42578125" style="543" customWidth="1"/>
    <col min="17" max="17" width="11.85546875" style="543" customWidth="1"/>
    <col min="18" max="18" width="9.28515625" style="544" customWidth="1"/>
    <col min="19" max="19" width="10.28515625" style="239" customWidth="1"/>
    <col min="20" max="20" width="12.42578125" style="244" customWidth="1"/>
    <col min="21" max="21" width="16.42578125" style="245" customWidth="1"/>
    <col min="22" max="22" width="26.7109375" style="547" customWidth="1"/>
    <col min="23" max="23" width="13.85546875" customWidth="1"/>
    <col min="24" max="24" width="12" bestFit="1" customWidth="1"/>
    <col min="25" max="25" width="10" style="228" bestFit="1" customWidth="1"/>
    <col min="26" max="26" width="9.28515625" style="228" bestFit="1" customWidth="1"/>
    <col min="29" max="29" width="10.7109375" customWidth="1"/>
    <col min="31" max="31" width="11" customWidth="1"/>
    <col min="33" max="33" width="10.28515625" customWidth="1"/>
  </cols>
  <sheetData>
    <row r="1" spans="1:29" ht="21.75" customHeight="1">
      <c r="A1" s="225" t="s">
        <v>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7"/>
    </row>
    <row r="2" spans="1:29" ht="15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1"/>
    </row>
    <row r="3" spans="1:29" ht="15.75" customHeight="1">
      <c r="A3" s="232" t="s">
        <v>165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4"/>
    </row>
    <row r="4" spans="1:29" ht="15" customHeight="1" thickBot="1">
      <c r="A4" s="235" t="s">
        <v>3</v>
      </c>
      <c r="B4" s="236"/>
      <c r="C4" s="237"/>
      <c r="D4" s="237"/>
      <c r="E4" s="238"/>
      <c r="F4" s="237"/>
      <c r="O4" s="242"/>
      <c r="P4" s="242"/>
      <c r="Q4" s="242"/>
      <c r="R4" s="243"/>
      <c r="V4" s="246"/>
    </row>
    <row r="5" spans="1:29" ht="12.75" customHeight="1">
      <c r="A5" s="247" t="s">
        <v>166</v>
      </c>
      <c r="B5" s="248"/>
      <c r="C5" s="249" t="s">
        <v>7</v>
      </c>
      <c r="D5" s="249" t="s">
        <v>167</v>
      </c>
      <c r="E5" s="250" t="s">
        <v>10</v>
      </c>
      <c r="F5" s="251" t="s">
        <v>168</v>
      </c>
      <c r="G5" s="252" t="s">
        <v>169</v>
      </c>
      <c r="H5" s="252" t="s">
        <v>170</v>
      </c>
      <c r="I5" s="252" t="s">
        <v>12</v>
      </c>
      <c r="J5" s="252" t="s">
        <v>13</v>
      </c>
      <c r="K5" s="253"/>
      <c r="L5" s="253"/>
      <c r="M5" s="253"/>
      <c r="N5" s="253"/>
      <c r="O5" s="253"/>
      <c r="P5" s="253"/>
      <c r="Q5" s="253"/>
      <c r="R5" s="253"/>
      <c r="S5" s="253"/>
      <c r="T5" s="254"/>
      <c r="U5" s="255" t="s">
        <v>68</v>
      </c>
      <c r="V5" s="256" t="s">
        <v>21</v>
      </c>
    </row>
    <row r="6" spans="1:29" ht="24" customHeight="1">
      <c r="A6" s="257"/>
      <c r="B6" s="258"/>
      <c r="C6" s="259"/>
      <c r="D6" s="259"/>
      <c r="E6" s="260"/>
      <c r="F6" s="261"/>
      <c r="G6" s="262"/>
      <c r="H6" s="262"/>
      <c r="I6" s="262"/>
      <c r="J6" s="262"/>
      <c r="K6" s="263" t="s">
        <v>171</v>
      </c>
      <c r="L6" s="263"/>
      <c r="M6" s="263"/>
      <c r="N6" s="264"/>
      <c r="O6" s="265" t="s">
        <v>172</v>
      </c>
      <c r="P6" s="266" t="s">
        <v>133</v>
      </c>
      <c r="Q6" s="266" t="s">
        <v>137</v>
      </c>
      <c r="R6" s="265" t="s">
        <v>173</v>
      </c>
      <c r="S6" s="265" t="s">
        <v>174</v>
      </c>
      <c r="T6" s="267" t="s">
        <v>175</v>
      </c>
      <c r="U6" s="266" t="s">
        <v>20</v>
      </c>
      <c r="V6" s="268"/>
    </row>
    <row r="7" spans="1:29" ht="24" customHeight="1">
      <c r="A7" s="257"/>
      <c r="B7" s="269" t="s">
        <v>176</v>
      </c>
      <c r="C7" s="259"/>
      <c r="D7" s="259"/>
      <c r="E7" s="260"/>
      <c r="F7" s="261"/>
      <c r="G7" s="262"/>
      <c r="H7" s="262"/>
      <c r="I7" s="262"/>
      <c r="J7" s="262"/>
      <c r="K7" s="270"/>
      <c r="L7" s="270"/>
      <c r="M7" s="270"/>
      <c r="N7" s="271"/>
      <c r="O7" s="265"/>
      <c r="P7" s="265"/>
      <c r="Q7" s="265"/>
      <c r="R7" s="265"/>
      <c r="S7" s="265"/>
      <c r="T7" s="272"/>
      <c r="U7" s="265"/>
      <c r="V7" s="268"/>
      <c r="W7" s="273"/>
    </row>
    <row r="8" spans="1:29" ht="14.25" customHeight="1">
      <c r="A8" s="257"/>
      <c r="B8" s="269"/>
      <c r="C8" s="259"/>
      <c r="D8" s="259"/>
      <c r="E8" s="260"/>
      <c r="F8" s="261"/>
      <c r="G8" s="262"/>
      <c r="H8" s="262"/>
      <c r="I8" s="262"/>
      <c r="J8" s="262"/>
      <c r="K8" s="270"/>
      <c r="L8" s="270"/>
      <c r="M8" s="270"/>
      <c r="N8" s="271"/>
      <c r="O8" s="265"/>
      <c r="P8" s="265"/>
      <c r="Q8" s="265"/>
      <c r="R8" s="265"/>
      <c r="S8" s="265"/>
      <c r="T8" s="272"/>
      <c r="U8" s="265"/>
      <c r="V8" s="268"/>
    </row>
    <row r="9" spans="1:29" ht="1.5" customHeight="1">
      <c r="A9" s="274"/>
      <c r="B9" s="275"/>
      <c r="C9" s="276"/>
      <c r="D9" s="276"/>
      <c r="E9" s="277"/>
      <c r="F9" s="278"/>
      <c r="G9" s="279"/>
      <c r="H9" s="279"/>
      <c r="I9" s="280"/>
      <c r="J9" s="279"/>
      <c r="K9" s="281"/>
      <c r="L9" s="281"/>
      <c r="M9" s="282"/>
      <c r="N9" s="282"/>
      <c r="O9" s="283"/>
      <c r="P9" s="284"/>
      <c r="Q9" s="283"/>
      <c r="R9" s="283"/>
      <c r="S9" s="283"/>
      <c r="T9" s="285"/>
      <c r="U9" s="283"/>
      <c r="V9" s="286"/>
    </row>
    <row r="10" spans="1:29" ht="15.75" customHeight="1">
      <c r="A10" s="287"/>
      <c r="B10" s="288"/>
      <c r="C10" s="289"/>
      <c r="D10" s="289"/>
      <c r="E10" s="290"/>
      <c r="F10" s="291"/>
      <c r="G10" s="292"/>
      <c r="H10" s="292"/>
      <c r="I10" s="292"/>
      <c r="J10" s="293"/>
      <c r="K10" s="294">
        <v>0.1</v>
      </c>
      <c r="L10" s="295">
        <v>0.05</v>
      </c>
      <c r="M10" s="296">
        <v>0.03</v>
      </c>
      <c r="N10" s="296">
        <v>0.02</v>
      </c>
      <c r="O10" s="297"/>
      <c r="P10" s="297"/>
      <c r="Q10" s="297"/>
      <c r="R10" s="298"/>
      <c r="S10" s="298"/>
      <c r="T10" s="297"/>
      <c r="U10" s="299"/>
      <c r="V10" s="300"/>
    </row>
    <row r="11" spans="1:29" s="311" customFormat="1" ht="17.25" customHeight="1">
      <c r="A11" s="301" t="s">
        <v>177</v>
      </c>
      <c r="B11" s="302"/>
      <c r="C11" s="303"/>
      <c r="D11" s="303"/>
      <c r="E11" s="304"/>
      <c r="F11" s="305"/>
      <c r="G11" s="306"/>
      <c r="H11" s="306"/>
      <c r="I11" s="306"/>
      <c r="J11" s="306"/>
      <c r="K11" s="307"/>
      <c r="L11" s="307"/>
      <c r="M11" s="308"/>
      <c r="N11" s="308"/>
      <c r="O11" s="308"/>
      <c r="P11" s="308"/>
      <c r="Q11" s="308"/>
      <c r="R11" s="307"/>
      <c r="S11" s="307"/>
      <c r="T11" s="308"/>
      <c r="U11" s="309"/>
      <c r="V11" s="310"/>
      <c r="Y11" s="312"/>
      <c r="Z11" s="312"/>
    </row>
    <row r="12" spans="1:29" s="330" customFormat="1" ht="17.25" customHeight="1">
      <c r="A12" s="313">
        <v>1</v>
      </c>
      <c r="B12" s="314" t="s">
        <v>178</v>
      </c>
      <c r="C12" s="315" t="s">
        <v>179</v>
      </c>
      <c r="D12" s="316" t="s">
        <v>180</v>
      </c>
      <c r="E12" s="317">
        <v>731.7</v>
      </c>
      <c r="F12" s="318">
        <v>8048.7</v>
      </c>
      <c r="G12" s="319"/>
      <c r="H12" s="319"/>
      <c r="I12" s="319"/>
      <c r="J12" s="320">
        <f t="shared" ref="J12:J36" si="0">F12-G12-H12</f>
        <v>8048.7</v>
      </c>
      <c r="K12" s="320"/>
      <c r="L12" s="320"/>
      <c r="M12" s="321">
        <v>239.45</v>
      </c>
      <c r="N12" s="321">
        <v>159.63999999999999</v>
      </c>
      <c r="O12" s="322">
        <v>760</v>
      </c>
      <c r="P12" s="322">
        <v>804.87</v>
      </c>
      <c r="Q12" s="322">
        <v>200</v>
      </c>
      <c r="R12" s="323"/>
      <c r="S12" s="319"/>
      <c r="T12" s="324">
        <f t="shared" ref="T12:T36" si="1">K12+L12+M12+N12+O12+P12+Q12+R12+S12</f>
        <v>2163.96</v>
      </c>
      <c r="U12" s="325">
        <f t="shared" ref="U12:U36" si="2">J12-T12</f>
        <v>5884.74</v>
      </c>
      <c r="V12" s="326"/>
      <c r="W12" s="327">
        <v>16097.4</v>
      </c>
      <c r="X12" s="328">
        <f t="shared" ref="X12:X36" si="3">W12/2</f>
        <v>8048.7</v>
      </c>
      <c r="Y12" s="329">
        <v>731.7</v>
      </c>
      <c r="Z12" s="329">
        <v>1.52</v>
      </c>
      <c r="AA12" s="328">
        <f t="shared" ref="AA12:AA75" si="4">Y12/8</f>
        <v>91.462500000000006</v>
      </c>
    </row>
    <row r="13" spans="1:29" s="330" customFormat="1" ht="17.25" customHeight="1">
      <c r="A13" s="313">
        <v>2</v>
      </c>
      <c r="B13" s="314" t="s">
        <v>181</v>
      </c>
      <c r="C13" s="315" t="s">
        <v>179</v>
      </c>
      <c r="D13" s="316" t="s">
        <v>180</v>
      </c>
      <c r="E13" s="317">
        <v>731.7</v>
      </c>
      <c r="F13" s="318">
        <v>8048.7</v>
      </c>
      <c r="G13" s="319"/>
      <c r="H13" s="319"/>
      <c r="I13" s="319"/>
      <c r="J13" s="320">
        <f t="shared" si="0"/>
        <v>8048.7</v>
      </c>
      <c r="K13" s="320"/>
      <c r="L13" s="320"/>
      <c r="M13" s="321">
        <v>241.46</v>
      </c>
      <c r="N13" s="321">
        <v>160.97</v>
      </c>
      <c r="O13" s="322">
        <v>760</v>
      </c>
      <c r="P13" s="322">
        <v>804.87</v>
      </c>
      <c r="Q13" s="322">
        <v>200</v>
      </c>
      <c r="R13" s="323"/>
      <c r="S13" s="319"/>
      <c r="T13" s="324">
        <f t="shared" si="1"/>
        <v>2167.3000000000002</v>
      </c>
      <c r="U13" s="325">
        <f t="shared" si="2"/>
        <v>5881.4</v>
      </c>
      <c r="V13" s="326"/>
      <c r="W13" s="327">
        <v>16097.4</v>
      </c>
      <c r="X13" s="328">
        <f t="shared" si="3"/>
        <v>8048.7</v>
      </c>
      <c r="Y13" s="329">
        <v>731.7</v>
      </c>
      <c r="Z13" s="329">
        <v>1.52</v>
      </c>
      <c r="AA13" s="328">
        <f t="shared" si="4"/>
        <v>91.462500000000006</v>
      </c>
    </row>
    <row r="14" spans="1:29" s="330" customFormat="1" ht="17.25" customHeight="1">
      <c r="A14" s="313">
        <v>3</v>
      </c>
      <c r="B14" s="314" t="s">
        <v>182</v>
      </c>
      <c r="C14" s="315" t="s">
        <v>179</v>
      </c>
      <c r="D14" s="316" t="s">
        <v>180</v>
      </c>
      <c r="E14" s="317">
        <v>1045.7</v>
      </c>
      <c r="F14" s="318">
        <v>11502.7</v>
      </c>
      <c r="G14" s="319"/>
      <c r="H14" s="319"/>
      <c r="I14" s="319"/>
      <c r="J14" s="320">
        <f t="shared" si="0"/>
        <v>11502.7</v>
      </c>
      <c r="K14" s="331">
        <v>932.62</v>
      </c>
      <c r="L14" s="320"/>
      <c r="M14" s="321"/>
      <c r="N14" s="321"/>
      <c r="O14" s="332"/>
      <c r="P14" s="332"/>
      <c r="Q14" s="322">
        <v>200</v>
      </c>
      <c r="R14" s="323"/>
      <c r="S14" s="319">
        <v>1400</v>
      </c>
      <c r="T14" s="324">
        <f t="shared" si="1"/>
        <v>2532.62</v>
      </c>
      <c r="U14" s="325">
        <f t="shared" si="2"/>
        <v>8970.0800000000017</v>
      </c>
      <c r="V14" s="333" t="s">
        <v>183</v>
      </c>
      <c r="W14" s="327">
        <v>23005.4</v>
      </c>
      <c r="X14" s="328">
        <f t="shared" si="3"/>
        <v>11502.7</v>
      </c>
      <c r="Y14" s="329">
        <v>731.7</v>
      </c>
      <c r="Z14" s="329">
        <v>1.52</v>
      </c>
      <c r="AA14" s="328">
        <f t="shared" si="4"/>
        <v>91.462500000000006</v>
      </c>
      <c r="AB14" s="328">
        <f>Y14/2</f>
        <v>365.85</v>
      </c>
      <c r="AC14" s="328">
        <f>AB14/8</f>
        <v>45.731250000000003</v>
      </c>
    </row>
    <row r="15" spans="1:29" s="330" customFormat="1" ht="17.25" customHeight="1">
      <c r="A15" s="313">
        <v>4</v>
      </c>
      <c r="B15" s="314" t="s">
        <v>184</v>
      </c>
      <c r="C15" s="315" t="s">
        <v>179</v>
      </c>
      <c r="D15" s="316" t="s">
        <v>180</v>
      </c>
      <c r="E15" s="317">
        <v>731.7</v>
      </c>
      <c r="F15" s="318">
        <v>8048.7</v>
      </c>
      <c r="G15" s="323"/>
      <c r="H15" s="319"/>
      <c r="I15" s="319"/>
      <c r="J15" s="320">
        <f t="shared" si="0"/>
        <v>8048.7</v>
      </c>
      <c r="K15" s="320"/>
      <c r="L15" s="320"/>
      <c r="M15" s="321"/>
      <c r="N15" s="321"/>
      <c r="O15" s="322">
        <v>760</v>
      </c>
      <c r="P15" s="322">
        <v>804.87</v>
      </c>
      <c r="Q15" s="322">
        <v>200</v>
      </c>
      <c r="R15" s="323"/>
      <c r="S15" s="319"/>
      <c r="T15" s="324">
        <f t="shared" si="1"/>
        <v>1764.87</v>
      </c>
      <c r="U15" s="325">
        <f t="shared" si="2"/>
        <v>6283.83</v>
      </c>
      <c r="V15" s="326" t="s">
        <v>25</v>
      </c>
      <c r="W15" s="327">
        <v>16097.4</v>
      </c>
      <c r="X15" s="328">
        <f t="shared" si="3"/>
        <v>8048.7</v>
      </c>
      <c r="Y15" s="329">
        <v>731.7</v>
      </c>
      <c r="Z15" s="329">
        <v>1.52</v>
      </c>
      <c r="AA15" s="328">
        <f t="shared" si="4"/>
        <v>91.462500000000006</v>
      </c>
    </row>
    <row r="16" spans="1:29" s="330" customFormat="1" ht="17.25" customHeight="1">
      <c r="A16" s="313">
        <v>5</v>
      </c>
      <c r="B16" s="314" t="s">
        <v>185</v>
      </c>
      <c r="C16" s="315" t="s">
        <v>179</v>
      </c>
      <c r="D16" s="316" t="s">
        <v>180</v>
      </c>
      <c r="E16" s="317">
        <v>731.7</v>
      </c>
      <c r="F16" s="318">
        <v>8048.7</v>
      </c>
      <c r="G16" s="323"/>
      <c r="H16" s="319"/>
      <c r="I16" s="319"/>
      <c r="J16" s="320">
        <f t="shared" si="0"/>
        <v>8048.7</v>
      </c>
      <c r="K16" s="320"/>
      <c r="L16" s="320"/>
      <c r="M16" s="321"/>
      <c r="N16" s="321"/>
      <c r="O16" s="322">
        <v>760</v>
      </c>
      <c r="P16" s="322">
        <v>804.87</v>
      </c>
      <c r="Q16" s="322">
        <v>200</v>
      </c>
      <c r="R16" s="323"/>
      <c r="S16" s="319"/>
      <c r="T16" s="324">
        <f t="shared" si="1"/>
        <v>1764.87</v>
      </c>
      <c r="U16" s="325">
        <f t="shared" si="2"/>
        <v>6283.83</v>
      </c>
      <c r="V16" s="326" t="s">
        <v>25</v>
      </c>
      <c r="W16" s="327">
        <v>16097.4</v>
      </c>
      <c r="X16" s="328">
        <f t="shared" si="3"/>
        <v>8048.7</v>
      </c>
      <c r="Y16" s="329">
        <v>731.7</v>
      </c>
      <c r="Z16" s="329">
        <v>1.52</v>
      </c>
      <c r="AA16" s="328">
        <f t="shared" si="4"/>
        <v>91.462500000000006</v>
      </c>
    </row>
    <row r="17" spans="1:33" s="330" customFormat="1" ht="17.25" customHeight="1">
      <c r="A17" s="313">
        <v>6</v>
      </c>
      <c r="B17" s="334" t="s">
        <v>186</v>
      </c>
      <c r="C17" s="315" t="s">
        <v>179</v>
      </c>
      <c r="D17" s="316" t="s">
        <v>180</v>
      </c>
      <c r="E17" s="318">
        <v>731.7</v>
      </c>
      <c r="F17" s="318">
        <v>8048.7</v>
      </c>
      <c r="G17" s="319"/>
      <c r="H17" s="319"/>
      <c r="I17" s="319"/>
      <c r="J17" s="320">
        <f t="shared" si="0"/>
        <v>8048.7</v>
      </c>
      <c r="K17" s="320"/>
      <c r="L17" s="320"/>
      <c r="M17" s="321"/>
      <c r="N17" s="335"/>
      <c r="O17" s="322">
        <v>760</v>
      </c>
      <c r="P17" s="322">
        <v>804.87</v>
      </c>
      <c r="Q17" s="322">
        <v>200</v>
      </c>
      <c r="R17" s="323">
        <v>270</v>
      </c>
      <c r="S17" s="319"/>
      <c r="T17" s="324">
        <f t="shared" si="1"/>
        <v>2034.87</v>
      </c>
      <c r="U17" s="325">
        <f t="shared" si="2"/>
        <v>6013.83</v>
      </c>
      <c r="V17" s="326" t="s">
        <v>25</v>
      </c>
      <c r="W17" s="327">
        <v>16097.4</v>
      </c>
      <c r="X17" s="328">
        <f t="shared" si="3"/>
        <v>8048.7</v>
      </c>
      <c r="Y17" s="329">
        <v>731.7</v>
      </c>
      <c r="Z17" s="329">
        <v>1.52</v>
      </c>
      <c r="AA17" s="328">
        <f t="shared" si="4"/>
        <v>91.462500000000006</v>
      </c>
    </row>
    <row r="18" spans="1:33" s="330" customFormat="1" ht="17.25" customHeight="1">
      <c r="A18" s="313">
        <v>7</v>
      </c>
      <c r="B18" s="314" t="s">
        <v>187</v>
      </c>
      <c r="C18" s="315" t="s">
        <v>179</v>
      </c>
      <c r="D18" s="316" t="s">
        <v>188</v>
      </c>
      <c r="E18" s="317">
        <v>731.7</v>
      </c>
      <c r="F18" s="318">
        <v>8048.7</v>
      </c>
      <c r="G18" s="319"/>
      <c r="H18" s="319"/>
      <c r="I18" s="319"/>
      <c r="J18" s="320">
        <f t="shared" si="0"/>
        <v>8048.7</v>
      </c>
      <c r="K18" s="320"/>
      <c r="L18" s="320"/>
      <c r="M18" s="321"/>
      <c r="N18" s="321"/>
      <c r="O18" s="336">
        <v>760</v>
      </c>
      <c r="P18" s="322">
        <v>804.87</v>
      </c>
      <c r="Q18" s="322">
        <v>200</v>
      </c>
      <c r="R18" s="323"/>
      <c r="S18" s="319"/>
      <c r="T18" s="324">
        <f t="shared" si="1"/>
        <v>1764.87</v>
      </c>
      <c r="U18" s="325">
        <f t="shared" si="2"/>
        <v>6283.83</v>
      </c>
      <c r="V18" s="326" t="s">
        <v>25</v>
      </c>
      <c r="W18" s="327">
        <v>16097.4</v>
      </c>
      <c r="X18" s="328">
        <f t="shared" si="3"/>
        <v>8048.7</v>
      </c>
      <c r="Y18" s="329">
        <v>731.7</v>
      </c>
      <c r="Z18" s="329">
        <v>1.52</v>
      </c>
      <c r="AA18" s="328">
        <f t="shared" si="4"/>
        <v>91.462500000000006</v>
      </c>
    </row>
    <row r="19" spans="1:33" s="330" customFormat="1" ht="17.25" customHeight="1">
      <c r="A19" s="313">
        <v>8</v>
      </c>
      <c r="B19" s="334" t="s">
        <v>189</v>
      </c>
      <c r="C19" s="315" t="s">
        <v>179</v>
      </c>
      <c r="D19" s="337" t="s">
        <v>190</v>
      </c>
      <c r="E19" s="318">
        <v>731.7</v>
      </c>
      <c r="F19" s="319">
        <v>8048.7</v>
      </c>
      <c r="G19" s="319"/>
      <c r="H19" s="319"/>
      <c r="I19" s="319"/>
      <c r="J19" s="320">
        <f t="shared" si="0"/>
        <v>8048.7</v>
      </c>
      <c r="K19" s="320"/>
      <c r="L19" s="320"/>
      <c r="M19" s="321">
        <v>241.46</v>
      </c>
      <c r="N19" s="321">
        <v>160.97</v>
      </c>
      <c r="O19" s="322">
        <v>760</v>
      </c>
      <c r="P19" s="332"/>
      <c r="Q19" s="322">
        <v>200</v>
      </c>
      <c r="R19" s="323">
        <v>347</v>
      </c>
      <c r="S19" s="319"/>
      <c r="T19" s="324">
        <f t="shared" si="1"/>
        <v>1709.43</v>
      </c>
      <c r="U19" s="325">
        <f t="shared" si="2"/>
        <v>6339.2699999999995</v>
      </c>
      <c r="V19" s="326"/>
      <c r="W19" s="327">
        <v>16097.4</v>
      </c>
      <c r="X19" s="328">
        <f t="shared" si="3"/>
        <v>8048.7</v>
      </c>
      <c r="Y19" s="329">
        <v>1045.7</v>
      </c>
      <c r="Z19" s="329">
        <f>Y19/8/60</f>
        <v>2.1785416666666668</v>
      </c>
      <c r="AA19" s="328">
        <f t="shared" si="4"/>
        <v>130.71250000000001</v>
      </c>
      <c r="AD19" s="330">
        <f>39</f>
        <v>39</v>
      </c>
    </row>
    <row r="20" spans="1:33" s="330" customFormat="1" ht="17.25" customHeight="1">
      <c r="A20" s="313">
        <v>9</v>
      </c>
      <c r="B20" s="334" t="s">
        <v>191</v>
      </c>
      <c r="C20" s="315" t="s">
        <v>179</v>
      </c>
      <c r="D20" s="337" t="s">
        <v>190</v>
      </c>
      <c r="E20" s="318">
        <v>731.7</v>
      </c>
      <c r="F20" s="319">
        <v>8048.7</v>
      </c>
      <c r="G20" s="319"/>
      <c r="H20" s="319"/>
      <c r="I20" s="319"/>
      <c r="J20" s="320">
        <f t="shared" si="0"/>
        <v>8048.7</v>
      </c>
      <c r="K20" s="320"/>
      <c r="L20" s="320"/>
      <c r="M20" s="321"/>
      <c r="N20" s="321"/>
      <c r="O20" s="322">
        <v>760</v>
      </c>
      <c r="P20" s="322">
        <v>804.87</v>
      </c>
      <c r="Q20" s="322">
        <v>200</v>
      </c>
      <c r="R20" s="323"/>
      <c r="S20" s="319">
        <v>700</v>
      </c>
      <c r="T20" s="324">
        <f t="shared" si="1"/>
        <v>2464.87</v>
      </c>
      <c r="U20" s="325">
        <f t="shared" si="2"/>
        <v>5583.83</v>
      </c>
      <c r="V20" s="326" t="s">
        <v>25</v>
      </c>
      <c r="W20" s="327">
        <v>16097.4</v>
      </c>
      <c r="X20" s="328">
        <f t="shared" si="3"/>
        <v>8048.7</v>
      </c>
      <c r="Y20" s="329">
        <v>731.7</v>
      </c>
      <c r="Z20" s="329">
        <v>1.52</v>
      </c>
      <c r="AA20" s="328">
        <f t="shared" si="4"/>
        <v>91.462500000000006</v>
      </c>
      <c r="AD20" s="330">
        <v>26</v>
      </c>
    </row>
    <row r="21" spans="1:33" s="330" customFormat="1" ht="17.25" customHeight="1">
      <c r="A21" s="313">
        <v>10</v>
      </c>
      <c r="B21" s="334" t="s">
        <v>192</v>
      </c>
      <c r="C21" s="315" t="s">
        <v>179</v>
      </c>
      <c r="D21" s="337" t="s">
        <v>190</v>
      </c>
      <c r="E21" s="318">
        <v>731.7</v>
      </c>
      <c r="F21" s="318">
        <f>E21*11</f>
        <v>8048.7000000000007</v>
      </c>
      <c r="G21" s="319"/>
      <c r="H21" s="319"/>
      <c r="I21" s="319"/>
      <c r="J21" s="320">
        <f t="shared" si="0"/>
        <v>8048.7000000000007</v>
      </c>
      <c r="K21" s="320"/>
      <c r="L21" s="320"/>
      <c r="M21" s="321"/>
      <c r="N21" s="321"/>
      <c r="O21" s="322">
        <v>760</v>
      </c>
      <c r="P21" s="322">
        <v>804.87</v>
      </c>
      <c r="Q21" s="322">
        <v>200</v>
      </c>
      <c r="R21" s="323"/>
      <c r="S21" s="319"/>
      <c r="T21" s="324">
        <f t="shared" si="1"/>
        <v>1764.87</v>
      </c>
      <c r="U21" s="325">
        <f t="shared" si="2"/>
        <v>6283.8300000000008</v>
      </c>
      <c r="V21" s="326" t="s">
        <v>25</v>
      </c>
      <c r="W21" s="327">
        <v>16097.4</v>
      </c>
      <c r="X21" s="328">
        <f t="shared" si="3"/>
        <v>8048.7</v>
      </c>
      <c r="Y21" s="329">
        <v>731.7</v>
      </c>
      <c r="Z21" s="329">
        <v>1.52</v>
      </c>
      <c r="AA21" s="328">
        <f t="shared" si="4"/>
        <v>91.462500000000006</v>
      </c>
      <c r="AD21" s="330">
        <v>60</v>
      </c>
    </row>
    <row r="22" spans="1:33" s="330" customFormat="1" ht="17.25" customHeight="1">
      <c r="A22" s="313">
        <v>11</v>
      </c>
      <c r="B22" s="314" t="s">
        <v>193</v>
      </c>
      <c r="C22" s="315" t="s">
        <v>179</v>
      </c>
      <c r="D22" s="337" t="s">
        <v>190</v>
      </c>
      <c r="E22" s="317">
        <v>731.7</v>
      </c>
      <c r="F22" s="318">
        <v>8048.7</v>
      </c>
      <c r="G22" s="323"/>
      <c r="H22" s="319"/>
      <c r="I22" s="319"/>
      <c r="J22" s="320">
        <f t="shared" si="0"/>
        <v>8048.7</v>
      </c>
      <c r="K22" s="320"/>
      <c r="L22" s="320"/>
      <c r="M22" s="321"/>
      <c r="N22" s="321"/>
      <c r="O22" s="322">
        <v>760</v>
      </c>
      <c r="P22" s="322">
        <v>804.87</v>
      </c>
      <c r="Q22" s="322">
        <v>200</v>
      </c>
      <c r="R22" s="323"/>
      <c r="S22" s="319"/>
      <c r="T22" s="324">
        <f t="shared" si="1"/>
        <v>1764.87</v>
      </c>
      <c r="U22" s="325">
        <f t="shared" si="2"/>
        <v>6283.83</v>
      </c>
      <c r="V22" s="326" t="s">
        <v>25</v>
      </c>
      <c r="W22" s="327">
        <v>16097.4</v>
      </c>
      <c r="X22" s="328">
        <f t="shared" si="3"/>
        <v>8048.7</v>
      </c>
      <c r="Y22" s="329">
        <v>731.7</v>
      </c>
      <c r="Z22" s="329">
        <v>1.52</v>
      </c>
      <c r="AA22" s="328">
        <f t="shared" si="4"/>
        <v>91.462500000000006</v>
      </c>
      <c r="AD22" s="330">
        <v>120</v>
      </c>
    </row>
    <row r="23" spans="1:33" s="330" customFormat="1" ht="17.25" customHeight="1">
      <c r="A23" s="313">
        <v>12</v>
      </c>
      <c r="B23" s="314" t="s">
        <v>194</v>
      </c>
      <c r="C23" s="315" t="s">
        <v>179</v>
      </c>
      <c r="D23" s="337" t="s">
        <v>190</v>
      </c>
      <c r="E23" s="317">
        <v>731.7</v>
      </c>
      <c r="F23" s="318">
        <v>8048.7</v>
      </c>
      <c r="G23" s="319"/>
      <c r="H23" s="319"/>
      <c r="I23" s="319"/>
      <c r="J23" s="320">
        <f t="shared" si="0"/>
        <v>8048.7</v>
      </c>
      <c r="K23" s="320"/>
      <c r="L23" s="320"/>
      <c r="M23" s="321"/>
      <c r="N23" s="321"/>
      <c r="O23" s="322">
        <v>760</v>
      </c>
      <c r="P23" s="322">
        <v>804.87</v>
      </c>
      <c r="Q23" s="322">
        <v>200</v>
      </c>
      <c r="R23" s="323"/>
      <c r="S23" s="319"/>
      <c r="T23" s="324">
        <f t="shared" si="1"/>
        <v>1764.87</v>
      </c>
      <c r="U23" s="325">
        <f t="shared" si="2"/>
        <v>6283.83</v>
      </c>
      <c r="V23" s="326" t="s">
        <v>25</v>
      </c>
      <c r="W23" s="327">
        <v>16097.4</v>
      </c>
      <c r="X23" s="328">
        <f t="shared" si="3"/>
        <v>8048.7</v>
      </c>
      <c r="Y23" s="329">
        <v>731.7</v>
      </c>
      <c r="Z23" s="329">
        <v>1.52</v>
      </c>
      <c r="AA23" s="328">
        <f t="shared" si="4"/>
        <v>91.462500000000006</v>
      </c>
      <c r="AD23" s="330">
        <v>60</v>
      </c>
    </row>
    <row r="24" spans="1:33" s="330" customFormat="1" ht="17.25" customHeight="1">
      <c r="A24" s="313">
        <v>13</v>
      </c>
      <c r="B24" s="314" t="s">
        <v>195</v>
      </c>
      <c r="C24" s="315" t="s">
        <v>179</v>
      </c>
      <c r="D24" s="337" t="s">
        <v>190</v>
      </c>
      <c r="E24" s="317">
        <v>731.7</v>
      </c>
      <c r="F24" s="318">
        <v>8048.7</v>
      </c>
      <c r="G24" s="319"/>
      <c r="H24" s="319"/>
      <c r="I24" s="319"/>
      <c r="J24" s="320">
        <f t="shared" si="0"/>
        <v>8048.7</v>
      </c>
      <c r="K24" s="320"/>
      <c r="L24" s="320"/>
      <c r="M24" s="321"/>
      <c r="N24" s="321"/>
      <c r="O24" s="322">
        <v>760</v>
      </c>
      <c r="P24" s="322">
        <v>804.87</v>
      </c>
      <c r="Q24" s="322">
        <v>200</v>
      </c>
      <c r="R24" s="323"/>
      <c r="S24" s="319"/>
      <c r="T24" s="324">
        <f t="shared" si="1"/>
        <v>1764.87</v>
      </c>
      <c r="U24" s="325">
        <f t="shared" si="2"/>
        <v>6283.83</v>
      </c>
      <c r="V24" s="326" t="s">
        <v>25</v>
      </c>
      <c r="W24" s="327">
        <v>16097.4</v>
      </c>
      <c r="X24" s="328">
        <f t="shared" si="3"/>
        <v>8048.7</v>
      </c>
      <c r="Y24" s="329">
        <v>731.7</v>
      </c>
      <c r="Z24" s="329">
        <v>1.52</v>
      </c>
      <c r="AA24" s="328">
        <f t="shared" si="4"/>
        <v>91.462500000000006</v>
      </c>
      <c r="AD24" s="330">
        <v>13</v>
      </c>
    </row>
    <row r="25" spans="1:33" s="330" customFormat="1" ht="17.25" customHeight="1">
      <c r="A25" s="313">
        <v>14</v>
      </c>
      <c r="B25" s="314" t="s">
        <v>196</v>
      </c>
      <c r="C25" s="315" t="s">
        <v>179</v>
      </c>
      <c r="D25" s="337" t="s">
        <v>190</v>
      </c>
      <c r="E25" s="317">
        <v>731.7</v>
      </c>
      <c r="F25" s="318">
        <v>8048.7</v>
      </c>
      <c r="G25" s="319"/>
      <c r="H25" s="319"/>
      <c r="I25" s="319"/>
      <c r="J25" s="320">
        <f t="shared" si="0"/>
        <v>8048.7</v>
      </c>
      <c r="K25" s="320"/>
      <c r="L25" s="320"/>
      <c r="M25" s="321"/>
      <c r="N25" s="321"/>
      <c r="O25" s="322">
        <v>760</v>
      </c>
      <c r="P25" s="322">
        <v>804.87</v>
      </c>
      <c r="Q25" s="322">
        <v>200</v>
      </c>
      <c r="R25" s="323"/>
      <c r="S25" s="319"/>
      <c r="T25" s="324">
        <f t="shared" si="1"/>
        <v>1764.87</v>
      </c>
      <c r="U25" s="325">
        <f t="shared" si="2"/>
        <v>6283.83</v>
      </c>
      <c r="V25" s="326" t="s">
        <v>25</v>
      </c>
      <c r="W25" s="327">
        <v>16097.4</v>
      </c>
      <c r="X25" s="328">
        <f t="shared" si="3"/>
        <v>8048.7</v>
      </c>
      <c r="Y25" s="329">
        <v>731.7</v>
      </c>
      <c r="Z25" s="329">
        <v>1.52</v>
      </c>
      <c r="AA25" s="328">
        <f t="shared" si="4"/>
        <v>91.462500000000006</v>
      </c>
      <c r="AD25" s="330">
        <v>60</v>
      </c>
    </row>
    <row r="26" spans="1:33" s="330" customFormat="1" ht="17.25" customHeight="1">
      <c r="A26" s="313">
        <v>15</v>
      </c>
      <c r="B26" s="334" t="s">
        <v>197</v>
      </c>
      <c r="C26" s="315" t="s">
        <v>179</v>
      </c>
      <c r="D26" s="337" t="s">
        <v>190</v>
      </c>
      <c r="E26" s="318">
        <v>731.7</v>
      </c>
      <c r="F26" s="318">
        <f>E26*11</f>
        <v>8048.7000000000007</v>
      </c>
      <c r="G26" s="319"/>
      <c r="H26" s="319"/>
      <c r="I26" s="319"/>
      <c r="J26" s="320">
        <f t="shared" si="0"/>
        <v>8048.7000000000007</v>
      </c>
      <c r="K26" s="320"/>
      <c r="L26" s="320"/>
      <c r="M26" s="321"/>
      <c r="N26" s="321"/>
      <c r="O26" s="322">
        <v>760</v>
      </c>
      <c r="P26" s="332"/>
      <c r="Q26" s="322">
        <v>200</v>
      </c>
      <c r="R26" s="323"/>
      <c r="S26" s="319"/>
      <c r="T26" s="324">
        <f t="shared" si="1"/>
        <v>960</v>
      </c>
      <c r="U26" s="325">
        <f t="shared" si="2"/>
        <v>7088.7000000000007</v>
      </c>
      <c r="V26" s="326" t="s">
        <v>25</v>
      </c>
      <c r="W26" s="327">
        <v>16097.4</v>
      </c>
      <c r="X26" s="328">
        <f t="shared" si="3"/>
        <v>8048.7</v>
      </c>
      <c r="Y26" s="329">
        <v>731.7</v>
      </c>
      <c r="Z26" s="329">
        <v>1.52</v>
      </c>
      <c r="AA26" s="328">
        <f t="shared" si="4"/>
        <v>91.462500000000006</v>
      </c>
      <c r="AD26" s="330">
        <v>24</v>
      </c>
    </row>
    <row r="27" spans="1:33" s="330" customFormat="1" ht="17.25" customHeight="1">
      <c r="A27" s="313">
        <v>16</v>
      </c>
      <c r="B27" s="334" t="s">
        <v>198</v>
      </c>
      <c r="C27" s="315" t="s">
        <v>179</v>
      </c>
      <c r="D27" s="337" t="s">
        <v>190</v>
      </c>
      <c r="E27" s="318">
        <v>731.7</v>
      </c>
      <c r="F27" s="318">
        <f>E27*11</f>
        <v>8048.7000000000007</v>
      </c>
      <c r="G27" s="319"/>
      <c r="H27" s="319"/>
      <c r="I27" s="319"/>
      <c r="J27" s="320">
        <f t="shared" si="0"/>
        <v>8048.7000000000007</v>
      </c>
      <c r="K27" s="320"/>
      <c r="L27" s="320"/>
      <c r="M27" s="321"/>
      <c r="N27" s="321"/>
      <c r="O27" s="322">
        <v>760</v>
      </c>
      <c r="P27" s="332"/>
      <c r="Q27" s="322">
        <v>200</v>
      </c>
      <c r="R27" s="323"/>
      <c r="S27" s="319"/>
      <c r="T27" s="324">
        <f t="shared" si="1"/>
        <v>960</v>
      </c>
      <c r="U27" s="325">
        <f t="shared" si="2"/>
        <v>7088.7000000000007</v>
      </c>
      <c r="V27" s="326" t="s">
        <v>25</v>
      </c>
      <c r="W27" s="327">
        <v>16097.4</v>
      </c>
      <c r="X27" s="328">
        <f t="shared" si="3"/>
        <v>8048.7</v>
      </c>
      <c r="Y27" s="329">
        <v>731.7</v>
      </c>
      <c r="Z27" s="329">
        <v>1.52</v>
      </c>
      <c r="AA27" s="328">
        <f t="shared" si="4"/>
        <v>91.462500000000006</v>
      </c>
      <c r="AD27" s="330">
        <v>31</v>
      </c>
      <c r="AG27" s="328" t="e">
        <f>#REF!+#REF!</f>
        <v>#REF!</v>
      </c>
    </row>
    <row r="28" spans="1:33" s="330" customFormat="1" ht="17.25" customHeight="1">
      <c r="A28" s="313">
        <v>17</v>
      </c>
      <c r="B28" s="314" t="s">
        <v>199</v>
      </c>
      <c r="C28" s="315" t="s">
        <v>179</v>
      </c>
      <c r="D28" s="337" t="s">
        <v>190</v>
      </c>
      <c r="E28" s="317">
        <v>731.7</v>
      </c>
      <c r="F28" s="318">
        <v>8048.7</v>
      </c>
      <c r="G28" s="319"/>
      <c r="H28" s="319"/>
      <c r="I28" s="319"/>
      <c r="J28" s="320">
        <f t="shared" si="0"/>
        <v>8048.7</v>
      </c>
      <c r="K28" s="320"/>
      <c r="L28" s="320"/>
      <c r="M28" s="321"/>
      <c r="N28" s="321"/>
      <c r="O28" s="322">
        <v>760</v>
      </c>
      <c r="P28" s="332"/>
      <c r="Q28" s="322">
        <v>200</v>
      </c>
      <c r="R28" s="323"/>
      <c r="S28" s="319"/>
      <c r="T28" s="324">
        <f t="shared" si="1"/>
        <v>960</v>
      </c>
      <c r="U28" s="325">
        <f t="shared" si="2"/>
        <v>7088.7</v>
      </c>
      <c r="V28" s="326" t="s">
        <v>25</v>
      </c>
      <c r="W28" s="327">
        <v>16097.4</v>
      </c>
      <c r="X28" s="328">
        <f t="shared" si="3"/>
        <v>8048.7</v>
      </c>
      <c r="Y28" s="329">
        <v>731.7</v>
      </c>
      <c r="Z28" s="329">
        <v>1.52</v>
      </c>
      <c r="AA28" s="328">
        <f t="shared" si="4"/>
        <v>91.462500000000006</v>
      </c>
      <c r="AD28" s="330">
        <f>SUM(AD19:AD27)</f>
        <v>433</v>
      </c>
      <c r="AE28" s="330">
        <f>433*1.52</f>
        <v>658.16</v>
      </c>
      <c r="AG28" s="328" t="e">
        <f>#REF!+#REF!</f>
        <v>#REF!</v>
      </c>
    </row>
    <row r="29" spans="1:33" s="330" customFormat="1" ht="17.25" customHeight="1">
      <c r="A29" s="313">
        <v>18</v>
      </c>
      <c r="B29" s="334" t="s">
        <v>200</v>
      </c>
      <c r="C29" s="315" t="s">
        <v>179</v>
      </c>
      <c r="D29" s="337" t="s">
        <v>190</v>
      </c>
      <c r="E29" s="318">
        <v>731.7</v>
      </c>
      <c r="F29" s="319">
        <v>8048.7</v>
      </c>
      <c r="G29" s="319"/>
      <c r="H29" s="319"/>
      <c r="I29" s="319"/>
      <c r="J29" s="320">
        <f t="shared" si="0"/>
        <v>8048.7</v>
      </c>
      <c r="K29" s="320"/>
      <c r="L29" s="320"/>
      <c r="M29" s="321"/>
      <c r="N29" s="321"/>
      <c r="O29" s="338">
        <v>760</v>
      </c>
      <c r="P29" s="322">
        <v>804.87</v>
      </c>
      <c r="Q29" s="322">
        <v>200</v>
      </c>
      <c r="R29" s="323"/>
      <c r="S29" s="319"/>
      <c r="T29" s="324">
        <f t="shared" si="1"/>
        <v>1764.87</v>
      </c>
      <c r="U29" s="325">
        <f t="shared" si="2"/>
        <v>6283.83</v>
      </c>
      <c r="V29" s="333" t="s">
        <v>25</v>
      </c>
      <c r="W29" s="327">
        <v>16097.4</v>
      </c>
      <c r="X29" s="328">
        <f t="shared" si="3"/>
        <v>8048.7</v>
      </c>
      <c r="Y29" s="329">
        <v>731.7</v>
      </c>
      <c r="Z29" s="329">
        <v>1.52</v>
      </c>
      <c r="AA29" s="328">
        <f t="shared" si="4"/>
        <v>91.462500000000006</v>
      </c>
      <c r="AE29" s="328" t="e">
        <f>#REF!*2</f>
        <v>#REF!</v>
      </c>
    </row>
    <row r="30" spans="1:33" s="330" customFormat="1" ht="17.25" customHeight="1">
      <c r="A30" s="313">
        <v>19</v>
      </c>
      <c r="B30" s="314" t="s">
        <v>201</v>
      </c>
      <c r="C30" s="315" t="s">
        <v>179</v>
      </c>
      <c r="D30" s="337" t="s">
        <v>190</v>
      </c>
      <c r="E30" s="317">
        <v>731.7</v>
      </c>
      <c r="F30" s="318">
        <v>8048.7</v>
      </c>
      <c r="G30" s="319"/>
      <c r="H30" s="319"/>
      <c r="I30" s="319"/>
      <c r="J30" s="320">
        <f t="shared" si="0"/>
        <v>8048.7</v>
      </c>
      <c r="K30" s="320"/>
      <c r="L30" s="320"/>
      <c r="M30" s="321">
        <v>241.46</v>
      </c>
      <c r="N30" s="321">
        <v>160.97</v>
      </c>
      <c r="O30" s="322">
        <v>760</v>
      </c>
      <c r="P30" s="322">
        <v>804.87</v>
      </c>
      <c r="Q30" s="322">
        <v>200</v>
      </c>
      <c r="R30" s="323"/>
      <c r="S30" s="319"/>
      <c r="T30" s="324">
        <f t="shared" si="1"/>
        <v>2167.3000000000002</v>
      </c>
      <c r="U30" s="325">
        <f t="shared" si="2"/>
        <v>5881.4</v>
      </c>
      <c r="V30" s="333"/>
      <c r="W30" s="327">
        <v>16097.4</v>
      </c>
      <c r="X30" s="328">
        <f t="shared" si="3"/>
        <v>8048.7</v>
      </c>
      <c r="Y30" s="329">
        <v>731.7</v>
      </c>
      <c r="Z30" s="329">
        <v>1.52</v>
      </c>
      <c r="AA30" s="328">
        <f t="shared" si="4"/>
        <v>91.462500000000006</v>
      </c>
    </row>
    <row r="31" spans="1:33" s="330" customFormat="1" ht="17.25" customHeight="1">
      <c r="A31" s="313">
        <v>20</v>
      </c>
      <c r="B31" s="334" t="s">
        <v>202</v>
      </c>
      <c r="C31" s="315" t="s">
        <v>179</v>
      </c>
      <c r="D31" s="337" t="s">
        <v>190</v>
      </c>
      <c r="E31" s="318">
        <v>731.7</v>
      </c>
      <c r="F31" s="319">
        <v>8048.7</v>
      </c>
      <c r="G31" s="319"/>
      <c r="H31" s="319"/>
      <c r="I31" s="319"/>
      <c r="J31" s="320">
        <f t="shared" si="0"/>
        <v>8048.7</v>
      </c>
      <c r="K31" s="320"/>
      <c r="L31" s="320"/>
      <c r="M31" s="321">
        <v>241.46</v>
      </c>
      <c r="N31" s="321">
        <v>160.97</v>
      </c>
      <c r="O31" s="322">
        <v>760</v>
      </c>
      <c r="P31" s="322">
        <v>804.87</v>
      </c>
      <c r="Q31" s="322">
        <v>200</v>
      </c>
      <c r="R31" s="323"/>
      <c r="S31" s="319">
        <v>100</v>
      </c>
      <c r="T31" s="324">
        <f t="shared" si="1"/>
        <v>2267.3000000000002</v>
      </c>
      <c r="U31" s="325">
        <f t="shared" si="2"/>
        <v>5781.4</v>
      </c>
      <c r="V31" s="326"/>
      <c r="W31" s="327">
        <v>16097.4</v>
      </c>
      <c r="X31" s="328">
        <f t="shared" si="3"/>
        <v>8048.7</v>
      </c>
      <c r="Y31" s="329">
        <v>731.7</v>
      </c>
      <c r="Z31" s="329">
        <v>1.52</v>
      </c>
      <c r="AA31" s="328">
        <f t="shared" si="4"/>
        <v>91.462500000000006</v>
      </c>
    </row>
    <row r="32" spans="1:33" s="330" customFormat="1" ht="17.25" customHeight="1">
      <c r="A32" s="313">
        <v>21</v>
      </c>
      <c r="B32" s="314" t="s">
        <v>203</v>
      </c>
      <c r="C32" s="315" t="s">
        <v>179</v>
      </c>
      <c r="D32" s="337" t="s">
        <v>190</v>
      </c>
      <c r="E32" s="317">
        <v>731.7</v>
      </c>
      <c r="F32" s="318">
        <v>8048.7</v>
      </c>
      <c r="G32" s="319"/>
      <c r="H32" s="319"/>
      <c r="I32" s="319"/>
      <c r="J32" s="320">
        <f t="shared" si="0"/>
        <v>8048.7</v>
      </c>
      <c r="K32" s="320"/>
      <c r="L32" s="320"/>
      <c r="M32" s="321"/>
      <c r="N32" s="321"/>
      <c r="O32" s="322">
        <v>760</v>
      </c>
      <c r="P32" s="322">
        <v>804.87</v>
      </c>
      <c r="Q32" s="322">
        <v>200</v>
      </c>
      <c r="R32" s="323"/>
      <c r="S32" s="319"/>
      <c r="T32" s="324">
        <f t="shared" si="1"/>
        <v>1764.87</v>
      </c>
      <c r="U32" s="325">
        <f t="shared" si="2"/>
        <v>6283.83</v>
      </c>
      <c r="V32" s="333" t="s">
        <v>25</v>
      </c>
      <c r="W32" s="327">
        <v>16097.4</v>
      </c>
      <c r="X32" s="328">
        <f t="shared" si="3"/>
        <v>8048.7</v>
      </c>
      <c r="Y32" s="329">
        <v>731.7</v>
      </c>
      <c r="Z32" s="329">
        <v>1.52</v>
      </c>
      <c r="AA32" s="328">
        <f t="shared" si="4"/>
        <v>91.462500000000006</v>
      </c>
    </row>
    <row r="33" spans="1:27" s="330" customFormat="1" ht="17.25" customHeight="1">
      <c r="A33" s="313">
        <v>22</v>
      </c>
      <c r="B33" s="334" t="s">
        <v>204</v>
      </c>
      <c r="C33" s="315" t="s">
        <v>179</v>
      </c>
      <c r="D33" s="337" t="s">
        <v>190</v>
      </c>
      <c r="E33" s="318">
        <v>731.7</v>
      </c>
      <c r="F33" s="319">
        <v>8048.7</v>
      </c>
      <c r="G33" s="319"/>
      <c r="H33" s="319"/>
      <c r="I33" s="319"/>
      <c r="J33" s="320">
        <f t="shared" si="0"/>
        <v>8048.7</v>
      </c>
      <c r="K33" s="320"/>
      <c r="L33" s="320"/>
      <c r="M33" s="321">
        <v>241.46</v>
      </c>
      <c r="N33" s="321">
        <v>160.97</v>
      </c>
      <c r="O33" s="322">
        <v>760</v>
      </c>
      <c r="P33" s="322">
        <v>804.87</v>
      </c>
      <c r="Q33" s="322">
        <v>200</v>
      </c>
      <c r="R33" s="323"/>
      <c r="S33" s="319">
        <v>700</v>
      </c>
      <c r="T33" s="324">
        <f t="shared" si="1"/>
        <v>2867.3</v>
      </c>
      <c r="U33" s="325">
        <f t="shared" si="2"/>
        <v>5181.3999999999996</v>
      </c>
      <c r="V33" s="326"/>
      <c r="W33" s="327">
        <v>16097.4</v>
      </c>
      <c r="X33" s="328">
        <f t="shared" si="3"/>
        <v>8048.7</v>
      </c>
      <c r="Y33" s="329">
        <v>731.7</v>
      </c>
      <c r="Z33" s="329">
        <v>1.52</v>
      </c>
      <c r="AA33" s="328">
        <f t="shared" si="4"/>
        <v>91.462500000000006</v>
      </c>
    </row>
    <row r="34" spans="1:27" s="330" customFormat="1" ht="17.25" customHeight="1">
      <c r="A34" s="313">
        <v>23</v>
      </c>
      <c r="B34" s="339" t="s">
        <v>205</v>
      </c>
      <c r="C34" s="315" t="s">
        <v>179</v>
      </c>
      <c r="D34" s="337" t="s">
        <v>190</v>
      </c>
      <c r="E34" s="317">
        <v>731.7</v>
      </c>
      <c r="F34" s="318">
        <v>8048.7</v>
      </c>
      <c r="G34" s="319"/>
      <c r="H34" s="319"/>
      <c r="I34" s="319"/>
      <c r="J34" s="320">
        <f t="shared" si="0"/>
        <v>8048.7</v>
      </c>
      <c r="K34" s="320"/>
      <c r="L34" s="320"/>
      <c r="M34" s="321"/>
      <c r="N34" s="321"/>
      <c r="O34" s="322">
        <v>760</v>
      </c>
      <c r="P34" s="322">
        <v>804.87</v>
      </c>
      <c r="Q34" s="322">
        <v>200</v>
      </c>
      <c r="R34" s="323"/>
      <c r="S34" s="319"/>
      <c r="T34" s="324">
        <f t="shared" si="1"/>
        <v>1764.87</v>
      </c>
      <c r="U34" s="325">
        <f t="shared" si="2"/>
        <v>6283.83</v>
      </c>
      <c r="V34" s="326" t="s">
        <v>25</v>
      </c>
      <c r="W34" s="327">
        <v>16097.4</v>
      </c>
      <c r="X34" s="328">
        <f t="shared" si="3"/>
        <v>8048.7</v>
      </c>
      <c r="Y34" s="329">
        <v>731.7</v>
      </c>
      <c r="Z34" s="329">
        <v>1.52</v>
      </c>
      <c r="AA34" s="328">
        <f t="shared" si="4"/>
        <v>91.462500000000006</v>
      </c>
    </row>
    <row r="35" spans="1:27" s="330" customFormat="1" ht="17.25" customHeight="1">
      <c r="A35" s="313">
        <v>24</v>
      </c>
      <c r="B35" s="334" t="s">
        <v>206</v>
      </c>
      <c r="C35" s="315" t="s">
        <v>179</v>
      </c>
      <c r="D35" s="337" t="s">
        <v>190</v>
      </c>
      <c r="E35" s="318">
        <v>731.7</v>
      </c>
      <c r="F35" s="319">
        <v>8048.7</v>
      </c>
      <c r="G35" s="319"/>
      <c r="H35" s="319"/>
      <c r="I35" s="319"/>
      <c r="J35" s="320">
        <f t="shared" si="0"/>
        <v>8048.7</v>
      </c>
      <c r="K35" s="320"/>
      <c r="L35" s="320"/>
      <c r="M35" s="320"/>
      <c r="N35" s="320"/>
      <c r="O35" s="322">
        <v>760</v>
      </c>
      <c r="P35" s="332"/>
      <c r="Q35" s="322">
        <v>200</v>
      </c>
      <c r="R35" s="320"/>
      <c r="S35" s="320"/>
      <c r="T35" s="324">
        <f t="shared" si="1"/>
        <v>960</v>
      </c>
      <c r="U35" s="325">
        <f t="shared" si="2"/>
        <v>7088.7</v>
      </c>
      <c r="V35" s="326" t="s">
        <v>25</v>
      </c>
      <c r="W35" s="327">
        <v>16097.4</v>
      </c>
      <c r="X35" s="328">
        <f t="shared" si="3"/>
        <v>8048.7</v>
      </c>
      <c r="Y35" s="329">
        <v>731.7</v>
      </c>
      <c r="Z35" s="329">
        <v>1.52</v>
      </c>
      <c r="AA35" s="328">
        <f t="shared" si="4"/>
        <v>91.462500000000006</v>
      </c>
    </row>
    <row r="36" spans="1:27" s="330" customFormat="1" ht="17.25" customHeight="1" thickBot="1">
      <c r="A36" s="313">
        <v>25</v>
      </c>
      <c r="B36" s="340" t="s">
        <v>207</v>
      </c>
      <c r="C36" s="341" t="s">
        <v>179</v>
      </c>
      <c r="D36" s="342" t="s">
        <v>190</v>
      </c>
      <c r="E36" s="343">
        <v>731.7</v>
      </c>
      <c r="F36" s="344">
        <f>E36*11</f>
        <v>8048.7000000000007</v>
      </c>
      <c r="G36" s="344"/>
      <c r="H36" s="344"/>
      <c r="I36" s="344"/>
      <c r="J36" s="320">
        <f t="shared" si="0"/>
        <v>8048.7000000000007</v>
      </c>
      <c r="K36" s="345"/>
      <c r="L36" s="345"/>
      <c r="M36" s="321">
        <v>241.46</v>
      </c>
      <c r="N36" s="321">
        <v>160.97</v>
      </c>
      <c r="O36" s="346">
        <v>760</v>
      </c>
      <c r="P36" s="332"/>
      <c r="Q36" s="322">
        <v>200</v>
      </c>
      <c r="R36" s="347"/>
      <c r="S36" s="344">
        <v>1400</v>
      </c>
      <c r="T36" s="324">
        <f t="shared" si="1"/>
        <v>2762.4300000000003</v>
      </c>
      <c r="U36" s="325">
        <f t="shared" si="2"/>
        <v>5286.27</v>
      </c>
      <c r="V36" s="326"/>
      <c r="W36" s="327">
        <v>16097.4</v>
      </c>
      <c r="X36" s="328">
        <f t="shared" si="3"/>
        <v>8048.7</v>
      </c>
      <c r="Y36" s="329">
        <v>731.7</v>
      </c>
      <c r="Z36" s="329">
        <v>1.52</v>
      </c>
      <c r="AA36" s="328">
        <f t="shared" si="4"/>
        <v>91.462500000000006</v>
      </c>
    </row>
    <row r="37" spans="1:27" s="330" customFormat="1" ht="17.25" customHeight="1" thickBot="1">
      <c r="A37" s="348" t="s">
        <v>208</v>
      </c>
      <c r="B37" s="349"/>
      <c r="C37" s="350"/>
      <c r="D37" s="351"/>
      <c r="E37" s="352"/>
      <c r="F37" s="353"/>
      <c r="G37" s="354"/>
      <c r="H37" s="354"/>
      <c r="I37" s="354"/>
      <c r="J37" s="354">
        <f>SUM(J12:J36)</f>
        <v>204671.50000000009</v>
      </c>
      <c r="K37" s="354">
        <f t="shared" ref="K37:U37" si="5">SUM(K12:K36)</f>
        <v>932.62</v>
      </c>
      <c r="L37" s="354">
        <f t="shared" si="5"/>
        <v>0</v>
      </c>
      <c r="M37" s="354">
        <f t="shared" si="5"/>
        <v>1688.21</v>
      </c>
      <c r="N37" s="354">
        <f t="shared" si="5"/>
        <v>1125.46</v>
      </c>
      <c r="O37" s="354">
        <f t="shared" si="5"/>
        <v>18240</v>
      </c>
      <c r="P37" s="354">
        <f t="shared" si="5"/>
        <v>14487.660000000005</v>
      </c>
      <c r="Q37" s="354">
        <f>SUM(Q12:Q36)</f>
        <v>5000</v>
      </c>
      <c r="R37" s="354">
        <f t="shared" si="5"/>
        <v>617</v>
      </c>
      <c r="S37" s="354">
        <f t="shared" si="5"/>
        <v>4300</v>
      </c>
      <c r="T37" s="354">
        <f t="shared" si="5"/>
        <v>46390.950000000004</v>
      </c>
      <c r="U37" s="354">
        <f t="shared" si="5"/>
        <v>158280.54999999996</v>
      </c>
      <c r="V37" s="355"/>
      <c r="W37" s="327"/>
      <c r="Y37" s="329"/>
      <c r="Z37" s="329"/>
      <c r="AA37" s="328">
        <f t="shared" si="4"/>
        <v>0</v>
      </c>
    </row>
    <row r="38" spans="1:27" s="330" customFormat="1" ht="17.25" customHeight="1">
      <c r="A38" s="356"/>
      <c r="B38" s="357"/>
      <c r="C38" s="358"/>
      <c r="D38" s="359"/>
      <c r="E38" s="360"/>
      <c r="F38" s="361"/>
      <c r="G38" s="361"/>
      <c r="H38" s="361"/>
      <c r="I38" s="361"/>
      <c r="J38" s="362"/>
      <c r="K38" s="362"/>
      <c r="L38" s="362"/>
      <c r="M38" s="363"/>
      <c r="N38" s="363"/>
      <c r="O38" s="364"/>
      <c r="P38" s="364"/>
      <c r="Q38" s="364"/>
      <c r="R38" s="365"/>
      <c r="S38" s="361"/>
      <c r="T38" s="366"/>
      <c r="U38" s="367"/>
      <c r="V38" s="368"/>
      <c r="W38" s="327"/>
      <c r="Y38" s="369"/>
      <c r="Z38" s="369"/>
      <c r="AA38" s="328">
        <f t="shared" si="4"/>
        <v>0</v>
      </c>
    </row>
    <row r="39" spans="1:27" s="330" customFormat="1" ht="17.25" customHeight="1">
      <c r="A39" s="370" t="s">
        <v>209</v>
      </c>
      <c r="B39" s="371"/>
      <c r="C39" s="315"/>
      <c r="D39" s="337"/>
      <c r="E39" s="318"/>
      <c r="F39" s="318"/>
      <c r="G39" s="319"/>
      <c r="H39" s="319"/>
      <c r="I39" s="319"/>
      <c r="J39" s="320"/>
      <c r="K39" s="320"/>
      <c r="L39" s="320"/>
      <c r="M39" s="321"/>
      <c r="N39" s="321"/>
      <c r="O39" s="322"/>
      <c r="P39" s="322"/>
      <c r="Q39" s="322"/>
      <c r="R39" s="323"/>
      <c r="S39" s="319"/>
      <c r="T39" s="324"/>
      <c r="U39" s="372"/>
      <c r="V39" s="333"/>
      <c r="W39" s="327"/>
      <c r="Y39" s="329"/>
      <c r="Z39" s="329"/>
      <c r="AA39" s="328">
        <f t="shared" si="4"/>
        <v>0</v>
      </c>
    </row>
    <row r="40" spans="1:27" s="330" customFormat="1" ht="17.25" customHeight="1">
      <c r="A40" s="313">
        <v>26</v>
      </c>
      <c r="B40" s="337" t="s">
        <v>210</v>
      </c>
      <c r="C40" s="315" t="s">
        <v>179</v>
      </c>
      <c r="D40" s="316" t="s">
        <v>211</v>
      </c>
      <c r="E40" s="317">
        <v>985.8</v>
      </c>
      <c r="F40" s="318">
        <v>10843.8</v>
      </c>
      <c r="G40" s="319"/>
      <c r="H40" s="319"/>
      <c r="I40" s="319"/>
      <c r="J40" s="320">
        <f t="shared" ref="J40:J55" si="6">F40-G40-H40</f>
        <v>10843.8</v>
      </c>
      <c r="K40" s="331">
        <v>1067.57</v>
      </c>
      <c r="L40" s="320"/>
      <c r="M40" s="321"/>
      <c r="N40" s="321"/>
      <c r="O40" s="322">
        <v>750</v>
      </c>
      <c r="P40" s="332"/>
      <c r="Q40" s="322">
        <v>200</v>
      </c>
      <c r="R40" s="323"/>
      <c r="S40" s="319"/>
      <c r="T40" s="324">
        <f t="shared" ref="T40:T55" si="7">K40+L40+M40+N40+O40+P40+Q40+R40+S40</f>
        <v>2017.57</v>
      </c>
      <c r="U40" s="325">
        <f t="shared" ref="U40:U55" si="8">J40-T40</f>
        <v>8826.23</v>
      </c>
      <c r="V40" s="333"/>
      <c r="W40" s="327">
        <v>21687.599999999999</v>
      </c>
      <c r="X40" s="328">
        <f t="shared" ref="X40:X55" si="9">W40/2</f>
        <v>10843.8</v>
      </c>
      <c r="Y40" s="329">
        <v>731.7</v>
      </c>
      <c r="Z40" s="329">
        <v>1.52</v>
      </c>
      <c r="AA40" s="328">
        <f t="shared" si="4"/>
        <v>91.462500000000006</v>
      </c>
    </row>
    <row r="41" spans="1:27" s="330" customFormat="1" ht="17.25" customHeight="1">
      <c r="A41" s="313">
        <v>27</v>
      </c>
      <c r="B41" s="314" t="s">
        <v>212</v>
      </c>
      <c r="C41" s="315" t="s">
        <v>179</v>
      </c>
      <c r="D41" s="337" t="s">
        <v>190</v>
      </c>
      <c r="E41" s="317">
        <v>731.7</v>
      </c>
      <c r="F41" s="318">
        <v>8048.7</v>
      </c>
      <c r="G41" s="319"/>
      <c r="H41" s="319"/>
      <c r="I41" s="319"/>
      <c r="J41" s="320">
        <f t="shared" si="6"/>
        <v>8048.7</v>
      </c>
      <c r="K41" s="320"/>
      <c r="L41" s="320"/>
      <c r="M41" s="321"/>
      <c r="N41" s="321"/>
      <c r="O41" s="322">
        <v>760</v>
      </c>
      <c r="P41" s="322">
        <v>804.87</v>
      </c>
      <c r="Q41" s="322">
        <v>200</v>
      </c>
      <c r="R41" s="323"/>
      <c r="S41" s="319"/>
      <c r="T41" s="324">
        <f t="shared" si="7"/>
        <v>1764.87</v>
      </c>
      <c r="U41" s="325">
        <f t="shared" si="8"/>
        <v>6283.83</v>
      </c>
      <c r="V41" s="326"/>
      <c r="W41" s="327">
        <v>16097.4</v>
      </c>
      <c r="X41" s="327">
        <f t="shared" si="9"/>
        <v>8048.7</v>
      </c>
      <c r="Y41" s="373">
        <v>731.7</v>
      </c>
      <c r="Z41" s="374">
        <v>1.52</v>
      </c>
      <c r="AA41" s="328">
        <f t="shared" si="4"/>
        <v>91.462500000000006</v>
      </c>
    </row>
    <row r="42" spans="1:27" s="330" customFormat="1" ht="17.25" customHeight="1">
      <c r="A42" s="313">
        <v>28</v>
      </c>
      <c r="B42" s="314" t="s">
        <v>213</v>
      </c>
      <c r="C42" s="315" t="s">
        <v>179</v>
      </c>
      <c r="D42" s="316" t="s">
        <v>214</v>
      </c>
      <c r="E42" s="318">
        <v>731.7</v>
      </c>
      <c r="F42" s="318">
        <v>8048.7</v>
      </c>
      <c r="G42" s="319"/>
      <c r="H42" s="319"/>
      <c r="I42" s="319"/>
      <c r="J42" s="320">
        <f t="shared" si="6"/>
        <v>8048.7</v>
      </c>
      <c r="K42" s="320"/>
      <c r="L42" s="320"/>
      <c r="M42" s="321">
        <v>241.46</v>
      </c>
      <c r="N42" s="321">
        <v>160.97</v>
      </c>
      <c r="O42" s="322">
        <v>760</v>
      </c>
      <c r="P42" s="322">
        <v>804.87</v>
      </c>
      <c r="Q42" s="322">
        <v>200</v>
      </c>
      <c r="R42" s="323"/>
      <c r="S42" s="319"/>
      <c r="T42" s="324">
        <f t="shared" si="7"/>
        <v>2167.3000000000002</v>
      </c>
      <c r="U42" s="325">
        <f t="shared" si="8"/>
        <v>5881.4</v>
      </c>
      <c r="V42" s="375"/>
      <c r="W42" s="327">
        <v>16097.4</v>
      </c>
      <c r="X42" s="328">
        <f t="shared" si="9"/>
        <v>8048.7</v>
      </c>
      <c r="Y42" s="329">
        <v>731.7</v>
      </c>
      <c r="Z42" s="329">
        <v>1.52</v>
      </c>
      <c r="AA42" s="328">
        <f t="shared" si="4"/>
        <v>91.462500000000006</v>
      </c>
    </row>
    <row r="43" spans="1:27" s="330" customFormat="1" ht="17.25" customHeight="1">
      <c r="A43" s="313">
        <v>29</v>
      </c>
      <c r="B43" s="314" t="s">
        <v>215</v>
      </c>
      <c r="C43" s="315" t="s">
        <v>179</v>
      </c>
      <c r="D43" s="316" t="s">
        <v>214</v>
      </c>
      <c r="E43" s="317">
        <v>985.8</v>
      </c>
      <c r="F43" s="318">
        <v>10843.8</v>
      </c>
      <c r="G43" s="319"/>
      <c r="H43" s="319"/>
      <c r="I43" s="319"/>
      <c r="J43" s="320">
        <f t="shared" si="6"/>
        <v>10843.8</v>
      </c>
      <c r="K43" s="331">
        <v>1063.8800000000001</v>
      </c>
      <c r="L43" s="320"/>
      <c r="M43" s="321"/>
      <c r="N43" s="321"/>
      <c r="O43" s="322">
        <v>760</v>
      </c>
      <c r="P43" s="322">
        <v>1084.3800000000001</v>
      </c>
      <c r="Q43" s="322">
        <v>200</v>
      </c>
      <c r="R43" s="323"/>
      <c r="S43" s="319"/>
      <c r="T43" s="324">
        <f t="shared" si="7"/>
        <v>3108.26</v>
      </c>
      <c r="U43" s="325">
        <f t="shared" si="8"/>
        <v>7735.5399999999991</v>
      </c>
      <c r="V43" s="326"/>
      <c r="W43" s="327">
        <v>21687.599999999999</v>
      </c>
      <c r="X43" s="328">
        <f t="shared" si="9"/>
        <v>10843.8</v>
      </c>
      <c r="Y43" s="329">
        <v>731.7</v>
      </c>
      <c r="Z43" s="329">
        <v>1.52</v>
      </c>
      <c r="AA43" s="328">
        <f t="shared" si="4"/>
        <v>91.462500000000006</v>
      </c>
    </row>
    <row r="44" spans="1:27" s="379" customFormat="1" ht="17.25" customHeight="1">
      <c r="A44" s="313">
        <v>30</v>
      </c>
      <c r="B44" s="314" t="s">
        <v>216</v>
      </c>
      <c r="C44" s="315" t="s">
        <v>179</v>
      </c>
      <c r="D44" s="316" t="s">
        <v>217</v>
      </c>
      <c r="E44" s="318">
        <v>985.8</v>
      </c>
      <c r="F44" s="318">
        <v>10843.8</v>
      </c>
      <c r="G44" s="319"/>
      <c r="H44" s="319"/>
      <c r="I44" s="319"/>
      <c r="J44" s="320">
        <f t="shared" si="6"/>
        <v>10843.8</v>
      </c>
      <c r="K44" s="376"/>
      <c r="L44" s="377">
        <v>42.71</v>
      </c>
      <c r="M44" s="321"/>
      <c r="N44" s="321"/>
      <c r="O44" s="322">
        <v>760</v>
      </c>
      <c r="P44" s="322">
        <v>1084.3800000000001</v>
      </c>
      <c r="Q44" s="322">
        <v>200</v>
      </c>
      <c r="R44" s="323"/>
      <c r="S44" s="378"/>
      <c r="T44" s="324">
        <f t="shared" si="7"/>
        <v>2087.09</v>
      </c>
      <c r="U44" s="325">
        <f t="shared" si="8"/>
        <v>8756.7099999999991</v>
      </c>
      <c r="V44" s="326" t="s">
        <v>25</v>
      </c>
      <c r="W44" s="327">
        <v>21687.599999999999</v>
      </c>
      <c r="X44" s="328">
        <f t="shared" si="9"/>
        <v>10843.8</v>
      </c>
      <c r="Y44" s="329">
        <v>731.7</v>
      </c>
      <c r="Z44" s="329">
        <v>1.52</v>
      </c>
      <c r="AA44" s="328">
        <f t="shared" si="4"/>
        <v>91.462500000000006</v>
      </c>
    </row>
    <row r="45" spans="1:27" s="330" customFormat="1" ht="17.25" customHeight="1">
      <c r="A45" s="313">
        <v>31</v>
      </c>
      <c r="B45" s="314" t="s">
        <v>218</v>
      </c>
      <c r="C45" s="315" t="s">
        <v>179</v>
      </c>
      <c r="D45" s="316" t="s">
        <v>217</v>
      </c>
      <c r="E45" s="317">
        <v>731.7</v>
      </c>
      <c r="F45" s="318">
        <v>8048.7</v>
      </c>
      <c r="G45" s="319"/>
      <c r="H45" s="319"/>
      <c r="I45" s="319"/>
      <c r="J45" s="320">
        <f t="shared" si="6"/>
        <v>8048.7</v>
      </c>
      <c r="K45" s="320"/>
      <c r="L45" s="320"/>
      <c r="M45" s="321">
        <v>227.7</v>
      </c>
      <c r="N45" s="321">
        <v>151.80000000000001</v>
      </c>
      <c r="O45" s="322">
        <v>760</v>
      </c>
      <c r="P45" s="332"/>
      <c r="Q45" s="322">
        <v>200</v>
      </c>
      <c r="R45" s="323"/>
      <c r="S45" s="319"/>
      <c r="T45" s="324">
        <f t="shared" si="7"/>
        <v>1339.5</v>
      </c>
      <c r="U45" s="325">
        <f t="shared" si="8"/>
        <v>6709.2</v>
      </c>
      <c r="V45" s="326"/>
      <c r="W45" s="327">
        <v>16097.4</v>
      </c>
      <c r="X45" s="328">
        <f t="shared" si="9"/>
        <v>8048.7</v>
      </c>
      <c r="Y45" s="329">
        <v>731.7</v>
      </c>
      <c r="Z45" s="329">
        <v>1.52</v>
      </c>
      <c r="AA45" s="328">
        <f t="shared" si="4"/>
        <v>91.462500000000006</v>
      </c>
    </row>
    <row r="46" spans="1:27" s="330" customFormat="1" ht="17.25" customHeight="1">
      <c r="A46" s="313">
        <v>32</v>
      </c>
      <c r="B46" s="314" t="s">
        <v>219</v>
      </c>
      <c r="C46" s="315" t="s">
        <v>179</v>
      </c>
      <c r="D46" s="316" t="s">
        <v>217</v>
      </c>
      <c r="E46" s="317">
        <v>731.7</v>
      </c>
      <c r="F46" s="318">
        <v>8048.7</v>
      </c>
      <c r="G46" s="319"/>
      <c r="H46" s="319"/>
      <c r="I46" s="319"/>
      <c r="J46" s="320">
        <f t="shared" si="6"/>
        <v>8048.7</v>
      </c>
      <c r="K46" s="320"/>
      <c r="L46" s="320"/>
      <c r="M46" s="321"/>
      <c r="N46" s="321"/>
      <c r="O46" s="322">
        <v>760</v>
      </c>
      <c r="P46" s="332"/>
      <c r="Q46" s="322">
        <v>200</v>
      </c>
      <c r="R46" s="323">
        <v>292</v>
      </c>
      <c r="S46" s="319"/>
      <c r="T46" s="324">
        <f t="shared" si="7"/>
        <v>1252</v>
      </c>
      <c r="U46" s="325">
        <f t="shared" si="8"/>
        <v>6796.7</v>
      </c>
      <c r="V46" s="326" t="s">
        <v>25</v>
      </c>
      <c r="W46" s="327">
        <v>16097.4</v>
      </c>
      <c r="X46" s="328">
        <f t="shared" si="9"/>
        <v>8048.7</v>
      </c>
      <c r="Y46" s="329">
        <v>731.7</v>
      </c>
      <c r="Z46" s="329">
        <v>1.52</v>
      </c>
      <c r="AA46" s="328">
        <f t="shared" si="4"/>
        <v>91.462500000000006</v>
      </c>
    </row>
    <row r="47" spans="1:27" s="330" customFormat="1" ht="17.25" customHeight="1">
      <c r="A47" s="313">
        <v>33</v>
      </c>
      <c r="B47" s="380" t="s">
        <v>220</v>
      </c>
      <c r="C47" s="315" t="s">
        <v>179</v>
      </c>
      <c r="D47" s="316" t="s">
        <v>221</v>
      </c>
      <c r="E47" s="381">
        <v>731.7</v>
      </c>
      <c r="F47" s="318">
        <v>8048.7</v>
      </c>
      <c r="G47" s="319"/>
      <c r="H47" s="319"/>
      <c r="I47" s="319"/>
      <c r="J47" s="320">
        <f t="shared" si="6"/>
        <v>8048.7</v>
      </c>
      <c r="K47" s="320"/>
      <c r="L47" s="320"/>
      <c r="M47" s="321"/>
      <c r="N47" s="321"/>
      <c r="O47" s="322">
        <v>760</v>
      </c>
      <c r="P47" s="332"/>
      <c r="Q47" s="322">
        <v>200</v>
      </c>
      <c r="R47" s="323"/>
      <c r="S47" s="319"/>
      <c r="T47" s="324">
        <f t="shared" si="7"/>
        <v>960</v>
      </c>
      <c r="U47" s="325">
        <f t="shared" si="8"/>
        <v>7088.7</v>
      </c>
      <c r="V47" s="326" t="s">
        <v>25</v>
      </c>
      <c r="W47" s="327">
        <v>16097.4</v>
      </c>
      <c r="X47" s="328">
        <f t="shared" si="9"/>
        <v>8048.7</v>
      </c>
      <c r="Y47" s="329">
        <v>985.8</v>
      </c>
      <c r="Z47" s="329">
        <f>Y47/8/60</f>
        <v>2.05375</v>
      </c>
      <c r="AA47" s="328">
        <f t="shared" si="4"/>
        <v>123.22499999999999</v>
      </c>
    </row>
    <row r="48" spans="1:27" s="330" customFormat="1" ht="17.25" customHeight="1">
      <c r="A48" s="313">
        <v>34</v>
      </c>
      <c r="B48" s="314" t="s">
        <v>222</v>
      </c>
      <c r="C48" s="315" t="s">
        <v>179</v>
      </c>
      <c r="D48" s="316" t="s">
        <v>221</v>
      </c>
      <c r="E48" s="318">
        <v>731.7</v>
      </c>
      <c r="F48" s="318">
        <v>8048.7</v>
      </c>
      <c r="G48" s="319"/>
      <c r="H48" s="319"/>
      <c r="I48" s="319"/>
      <c r="J48" s="320">
        <f t="shared" si="6"/>
        <v>8048.7</v>
      </c>
      <c r="K48" s="320"/>
      <c r="L48" s="320"/>
      <c r="M48" s="321"/>
      <c r="N48" s="321"/>
      <c r="O48" s="322">
        <v>760</v>
      </c>
      <c r="P48" s="322">
        <v>804.87</v>
      </c>
      <c r="Q48" s="322">
        <v>200</v>
      </c>
      <c r="R48" s="323">
        <v>172</v>
      </c>
      <c r="S48" s="319"/>
      <c r="T48" s="324">
        <f t="shared" si="7"/>
        <v>1936.87</v>
      </c>
      <c r="U48" s="325">
        <f t="shared" si="8"/>
        <v>6111.83</v>
      </c>
      <c r="V48" s="382" t="s">
        <v>25</v>
      </c>
      <c r="W48" s="327">
        <v>16097.4</v>
      </c>
      <c r="X48" s="328">
        <f t="shared" si="9"/>
        <v>8048.7</v>
      </c>
      <c r="Y48" s="329">
        <v>731.7</v>
      </c>
      <c r="Z48" s="329">
        <v>1.52</v>
      </c>
      <c r="AA48" s="328">
        <f t="shared" si="4"/>
        <v>91.462500000000006</v>
      </c>
    </row>
    <row r="49" spans="1:33" s="330" customFormat="1" ht="17.25" customHeight="1">
      <c r="A49" s="313">
        <v>35</v>
      </c>
      <c r="B49" s="314" t="s">
        <v>223</v>
      </c>
      <c r="C49" s="315" t="s">
        <v>179</v>
      </c>
      <c r="D49" s="316" t="s">
        <v>224</v>
      </c>
      <c r="E49" s="369">
        <v>731.7</v>
      </c>
      <c r="F49" s="318">
        <v>8048.7</v>
      </c>
      <c r="G49" s="319"/>
      <c r="H49" s="319"/>
      <c r="I49" s="319"/>
      <c r="J49" s="320">
        <f t="shared" si="6"/>
        <v>8048.7</v>
      </c>
      <c r="K49" s="320"/>
      <c r="L49" s="320"/>
      <c r="M49" s="321">
        <v>241.46</v>
      </c>
      <c r="N49" s="321">
        <v>160.97</v>
      </c>
      <c r="O49" s="321">
        <v>760</v>
      </c>
      <c r="P49" s="332"/>
      <c r="Q49" s="322">
        <v>200</v>
      </c>
      <c r="R49" s="321"/>
      <c r="S49" s="321">
        <v>1400</v>
      </c>
      <c r="T49" s="324">
        <f t="shared" si="7"/>
        <v>2762.4300000000003</v>
      </c>
      <c r="U49" s="325">
        <f t="shared" si="8"/>
        <v>5286.2699999999995</v>
      </c>
      <c r="V49" s="326"/>
      <c r="W49" s="327">
        <v>16097.4</v>
      </c>
      <c r="X49" s="328">
        <f t="shared" si="9"/>
        <v>8048.7</v>
      </c>
      <c r="Y49" s="329">
        <v>731.7</v>
      </c>
      <c r="Z49" s="329">
        <v>1.52</v>
      </c>
      <c r="AA49" s="328">
        <f t="shared" si="4"/>
        <v>91.462500000000006</v>
      </c>
    </row>
    <row r="50" spans="1:33" s="330" customFormat="1" ht="17.25" customHeight="1">
      <c r="A50" s="313">
        <v>36</v>
      </c>
      <c r="B50" s="314" t="s">
        <v>225</v>
      </c>
      <c r="C50" s="315" t="s">
        <v>179</v>
      </c>
      <c r="D50" s="316" t="s">
        <v>224</v>
      </c>
      <c r="E50" s="318">
        <v>731.7</v>
      </c>
      <c r="F50" s="318">
        <v>8048.7</v>
      </c>
      <c r="G50" s="323"/>
      <c r="H50" s="319"/>
      <c r="I50" s="319"/>
      <c r="J50" s="320">
        <f t="shared" si="6"/>
        <v>8048.7</v>
      </c>
      <c r="K50" s="320"/>
      <c r="L50" s="320"/>
      <c r="M50" s="321"/>
      <c r="N50" s="321"/>
      <c r="O50" s="322">
        <v>760</v>
      </c>
      <c r="P50" s="322">
        <v>804.87</v>
      </c>
      <c r="Q50" s="322">
        <v>200</v>
      </c>
      <c r="R50" s="323"/>
      <c r="S50" s="319"/>
      <c r="T50" s="324">
        <f t="shared" si="7"/>
        <v>1764.87</v>
      </c>
      <c r="U50" s="325">
        <f t="shared" si="8"/>
        <v>6283.83</v>
      </c>
      <c r="V50" s="326" t="s">
        <v>25</v>
      </c>
      <c r="W50" s="327">
        <v>16097.4</v>
      </c>
      <c r="X50" s="328">
        <f t="shared" si="9"/>
        <v>8048.7</v>
      </c>
      <c r="Y50" s="329">
        <v>731.7</v>
      </c>
      <c r="Z50" s="329">
        <v>1.52</v>
      </c>
      <c r="AA50" s="328">
        <f t="shared" si="4"/>
        <v>91.462500000000006</v>
      </c>
      <c r="AB50" s="328">
        <f>Y50/2</f>
        <v>365.85</v>
      </c>
      <c r="AC50" s="328">
        <f>AB50/8</f>
        <v>45.731250000000003</v>
      </c>
    </row>
    <row r="51" spans="1:33" s="330" customFormat="1" ht="17.25" customHeight="1">
      <c r="A51" s="313">
        <v>37</v>
      </c>
      <c r="B51" s="314" t="s">
        <v>226</v>
      </c>
      <c r="C51" s="315" t="s">
        <v>179</v>
      </c>
      <c r="D51" s="316" t="s">
        <v>224</v>
      </c>
      <c r="E51" s="317">
        <v>731.7</v>
      </c>
      <c r="F51" s="318">
        <v>8048.7</v>
      </c>
      <c r="G51" s="323"/>
      <c r="H51" s="319"/>
      <c r="I51" s="319"/>
      <c r="J51" s="320">
        <f t="shared" si="6"/>
        <v>8048.7</v>
      </c>
      <c r="K51" s="320"/>
      <c r="L51" s="320"/>
      <c r="M51" s="321">
        <v>241.46</v>
      </c>
      <c r="N51" s="321">
        <v>160.97</v>
      </c>
      <c r="O51" s="322">
        <v>760</v>
      </c>
      <c r="P51" s="332"/>
      <c r="Q51" s="322">
        <v>200</v>
      </c>
      <c r="R51" s="323"/>
      <c r="S51" s="319">
        <v>1400</v>
      </c>
      <c r="T51" s="324">
        <f t="shared" si="7"/>
        <v>2762.4300000000003</v>
      </c>
      <c r="U51" s="325">
        <f t="shared" si="8"/>
        <v>5286.2699999999995</v>
      </c>
      <c r="V51" s="326"/>
      <c r="W51" s="327">
        <v>16097.4</v>
      </c>
      <c r="X51" s="328">
        <f t="shared" si="9"/>
        <v>8048.7</v>
      </c>
      <c r="Y51" s="329">
        <v>731.7</v>
      </c>
      <c r="Z51" s="329">
        <v>1.52</v>
      </c>
      <c r="AA51" s="328">
        <f t="shared" si="4"/>
        <v>91.462500000000006</v>
      </c>
    </row>
    <row r="52" spans="1:33" s="330" customFormat="1" ht="17.25" customHeight="1">
      <c r="A52" s="313">
        <v>38</v>
      </c>
      <c r="B52" s="314" t="s">
        <v>227</v>
      </c>
      <c r="C52" s="315" t="s">
        <v>179</v>
      </c>
      <c r="D52" s="316" t="s">
        <v>224</v>
      </c>
      <c r="E52" s="317">
        <v>731.7</v>
      </c>
      <c r="F52" s="318">
        <v>8048.7</v>
      </c>
      <c r="G52" s="319"/>
      <c r="H52" s="319"/>
      <c r="I52" s="319"/>
      <c r="J52" s="320">
        <f t="shared" si="6"/>
        <v>8048.7</v>
      </c>
      <c r="K52" s="320"/>
      <c r="L52" s="320"/>
      <c r="M52" s="321"/>
      <c r="N52" s="321"/>
      <c r="O52" s="322">
        <v>750</v>
      </c>
      <c r="P52" s="322">
        <v>804.87</v>
      </c>
      <c r="Q52" s="322">
        <v>200</v>
      </c>
      <c r="R52" s="323"/>
      <c r="S52" s="319"/>
      <c r="T52" s="324">
        <f t="shared" si="7"/>
        <v>1754.87</v>
      </c>
      <c r="U52" s="325">
        <f t="shared" si="8"/>
        <v>6293.83</v>
      </c>
      <c r="V52" s="326" t="s">
        <v>25</v>
      </c>
      <c r="W52" s="327">
        <v>16097.4</v>
      </c>
      <c r="X52" s="328">
        <f t="shared" si="9"/>
        <v>8048.7</v>
      </c>
      <c r="Y52" s="329">
        <v>985.8</v>
      </c>
      <c r="Z52" s="329">
        <v>2.0499999999999998</v>
      </c>
      <c r="AA52" s="328">
        <f t="shared" si="4"/>
        <v>123.22499999999999</v>
      </c>
    </row>
    <row r="53" spans="1:33" s="330" customFormat="1" ht="17.25" customHeight="1">
      <c r="A53" s="313">
        <v>39</v>
      </c>
      <c r="B53" s="314" t="s">
        <v>228</v>
      </c>
      <c r="C53" s="315" t="s">
        <v>179</v>
      </c>
      <c r="D53" s="383" t="s">
        <v>224</v>
      </c>
      <c r="E53" s="384">
        <v>731.7</v>
      </c>
      <c r="F53" s="318">
        <v>8048.7</v>
      </c>
      <c r="G53" s="385"/>
      <c r="H53" s="386"/>
      <c r="I53" s="386"/>
      <c r="J53" s="320">
        <f t="shared" si="6"/>
        <v>8048.7</v>
      </c>
      <c r="K53" s="386"/>
      <c r="L53" s="386"/>
      <c r="M53" s="321"/>
      <c r="N53" s="387"/>
      <c r="O53" s="323">
        <v>760</v>
      </c>
      <c r="P53" s="322">
        <v>804.87</v>
      </c>
      <c r="Q53" s="322">
        <v>200</v>
      </c>
      <c r="R53" s="324"/>
      <c r="S53" s="388"/>
      <c r="T53" s="324">
        <f t="shared" si="7"/>
        <v>1764.87</v>
      </c>
      <c r="U53" s="325">
        <f t="shared" si="8"/>
        <v>6283.83</v>
      </c>
      <c r="V53" s="326" t="s">
        <v>25</v>
      </c>
      <c r="W53" s="327">
        <v>16097.4</v>
      </c>
      <c r="X53" s="328">
        <f t="shared" si="9"/>
        <v>8048.7</v>
      </c>
      <c r="Y53" s="329">
        <v>731.7</v>
      </c>
      <c r="Z53" s="329">
        <v>1.52</v>
      </c>
      <c r="AA53" s="328">
        <f t="shared" si="4"/>
        <v>91.462500000000006</v>
      </c>
    </row>
    <row r="54" spans="1:33" s="330" customFormat="1" ht="17.25" customHeight="1">
      <c r="A54" s="313">
        <v>40</v>
      </c>
      <c r="B54" s="314" t="s">
        <v>229</v>
      </c>
      <c r="C54" s="315" t="s">
        <v>179</v>
      </c>
      <c r="D54" s="316" t="s">
        <v>224</v>
      </c>
      <c r="E54" s="317">
        <v>731.7</v>
      </c>
      <c r="F54" s="318">
        <v>8048.7</v>
      </c>
      <c r="G54" s="319"/>
      <c r="H54" s="319"/>
      <c r="I54" s="319"/>
      <c r="J54" s="320">
        <f t="shared" si="6"/>
        <v>8048.7</v>
      </c>
      <c r="K54" s="345"/>
      <c r="L54" s="345"/>
      <c r="M54" s="321"/>
      <c r="N54" s="321"/>
      <c r="O54" s="322">
        <v>760</v>
      </c>
      <c r="P54" s="332"/>
      <c r="Q54" s="322">
        <v>200</v>
      </c>
      <c r="R54" s="347"/>
      <c r="S54" s="344"/>
      <c r="T54" s="324">
        <f t="shared" si="7"/>
        <v>960</v>
      </c>
      <c r="U54" s="325">
        <f t="shared" si="8"/>
        <v>7088.7</v>
      </c>
      <c r="V54" s="326" t="s">
        <v>25</v>
      </c>
      <c r="W54" s="327">
        <v>16097.4</v>
      </c>
      <c r="X54" s="328">
        <f t="shared" si="9"/>
        <v>8048.7</v>
      </c>
      <c r="Y54" s="329">
        <v>985.8</v>
      </c>
      <c r="Z54" s="329">
        <v>2.0499999999999998</v>
      </c>
      <c r="AA54" s="328">
        <f t="shared" si="4"/>
        <v>123.22499999999999</v>
      </c>
    </row>
    <row r="55" spans="1:33" s="330" customFormat="1" ht="17.25" customHeight="1" thickBot="1">
      <c r="A55" s="313">
        <v>41</v>
      </c>
      <c r="B55" s="314" t="s">
        <v>230</v>
      </c>
      <c r="C55" s="315" t="s">
        <v>179</v>
      </c>
      <c r="D55" s="316" t="s">
        <v>224</v>
      </c>
      <c r="E55" s="317">
        <v>731.7</v>
      </c>
      <c r="F55" s="318">
        <v>8048.7</v>
      </c>
      <c r="G55" s="319"/>
      <c r="H55" s="319"/>
      <c r="I55" s="319"/>
      <c r="J55" s="320">
        <f t="shared" si="6"/>
        <v>8048.7</v>
      </c>
      <c r="K55" s="320"/>
      <c r="L55" s="320"/>
      <c r="M55" s="321">
        <v>241.46</v>
      </c>
      <c r="N55" s="321">
        <v>160.97</v>
      </c>
      <c r="O55" s="389"/>
      <c r="P55" s="332"/>
      <c r="Q55" s="322">
        <v>200</v>
      </c>
      <c r="R55" s="323"/>
      <c r="S55" s="319"/>
      <c r="T55" s="324">
        <f t="shared" si="7"/>
        <v>602.43000000000006</v>
      </c>
      <c r="U55" s="325">
        <f t="shared" si="8"/>
        <v>7446.2699999999995</v>
      </c>
      <c r="V55" s="326" t="s">
        <v>231</v>
      </c>
      <c r="W55" s="327">
        <v>16097.4</v>
      </c>
      <c r="X55" s="328">
        <f t="shared" si="9"/>
        <v>8048.7</v>
      </c>
      <c r="Y55" s="329">
        <v>731.7</v>
      </c>
      <c r="Z55" s="329">
        <v>1.52</v>
      </c>
      <c r="AA55" s="328">
        <f t="shared" si="4"/>
        <v>91.462500000000006</v>
      </c>
      <c r="AG55" s="328"/>
    </row>
    <row r="56" spans="1:33" s="391" customFormat="1" ht="17.25" customHeight="1" thickBot="1">
      <c r="A56" s="348" t="s">
        <v>232</v>
      </c>
      <c r="B56" s="349"/>
      <c r="C56" s="350"/>
      <c r="D56" s="351"/>
      <c r="E56" s="352"/>
      <c r="F56" s="354"/>
      <c r="G56" s="354"/>
      <c r="H56" s="354"/>
      <c r="I56" s="354"/>
      <c r="J56" s="354">
        <f>SUM(J40:J55)</f>
        <v>137164.49999999997</v>
      </c>
      <c r="K56" s="354">
        <f t="shared" ref="K56:U56" si="10">SUM(K40:K55)</f>
        <v>2131.4499999999998</v>
      </c>
      <c r="L56" s="354">
        <f t="shared" si="10"/>
        <v>42.71</v>
      </c>
      <c r="M56" s="354">
        <f t="shared" si="10"/>
        <v>1193.54</v>
      </c>
      <c r="N56" s="354">
        <f t="shared" si="10"/>
        <v>795.68000000000006</v>
      </c>
      <c r="O56" s="354">
        <f t="shared" si="10"/>
        <v>11380</v>
      </c>
      <c r="P56" s="354">
        <f t="shared" si="10"/>
        <v>6997.98</v>
      </c>
      <c r="Q56" s="354">
        <f t="shared" si="10"/>
        <v>3200</v>
      </c>
      <c r="R56" s="354">
        <f t="shared" si="10"/>
        <v>464</v>
      </c>
      <c r="S56" s="354">
        <f t="shared" si="10"/>
        <v>2800</v>
      </c>
      <c r="T56" s="354">
        <f t="shared" si="10"/>
        <v>29005.359999999997</v>
      </c>
      <c r="U56" s="354">
        <f t="shared" si="10"/>
        <v>108159.14</v>
      </c>
      <c r="V56" s="355"/>
      <c r="W56" s="390"/>
      <c r="Y56" s="392"/>
      <c r="Z56" s="392"/>
      <c r="AA56" s="328">
        <f t="shared" si="4"/>
        <v>0</v>
      </c>
    </row>
    <row r="57" spans="1:33" s="330" customFormat="1" ht="17.25" customHeight="1">
      <c r="A57" s="356"/>
      <c r="B57" s="357"/>
      <c r="C57" s="358"/>
      <c r="D57" s="359"/>
      <c r="E57" s="360"/>
      <c r="F57" s="361"/>
      <c r="G57" s="361"/>
      <c r="H57" s="361"/>
      <c r="I57" s="361"/>
      <c r="J57" s="362"/>
      <c r="K57" s="362"/>
      <c r="L57" s="362"/>
      <c r="M57" s="363"/>
      <c r="N57" s="363"/>
      <c r="O57" s="364"/>
      <c r="P57" s="364"/>
      <c r="Q57" s="364"/>
      <c r="R57" s="365"/>
      <c r="S57" s="361"/>
      <c r="T57" s="366"/>
      <c r="U57" s="367"/>
      <c r="V57" s="368"/>
      <c r="W57" s="327"/>
      <c r="Y57" s="369"/>
      <c r="Z57" s="369"/>
      <c r="AA57" s="328">
        <f t="shared" si="4"/>
        <v>0</v>
      </c>
    </row>
    <row r="58" spans="1:33" s="330" customFormat="1" ht="17.25" customHeight="1">
      <c r="A58" s="393" t="s">
        <v>233</v>
      </c>
      <c r="B58" s="394"/>
      <c r="C58" s="315"/>
      <c r="D58" s="316"/>
      <c r="E58" s="318"/>
      <c r="F58" s="318"/>
      <c r="G58" s="319"/>
      <c r="H58" s="319"/>
      <c r="I58" s="319"/>
      <c r="J58" s="320"/>
      <c r="K58" s="320"/>
      <c r="L58" s="320"/>
      <c r="M58" s="321"/>
      <c r="N58" s="321"/>
      <c r="O58" s="322"/>
      <c r="P58" s="322"/>
      <c r="Q58" s="322"/>
      <c r="R58" s="323"/>
      <c r="S58" s="319"/>
      <c r="T58" s="324"/>
      <c r="U58" s="325"/>
      <c r="V58" s="326"/>
      <c r="W58" s="327"/>
      <c r="Y58" s="329"/>
      <c r="Z58" s="329"/>
      <c r="AA58" s="328">
        <f t="shared" si="4"/>
        <v>0</v>
      </c>
    </row>
    <row r="59" spans="1:33" s="330" customFormat="1" ht="17.25" customHeight="1">
      <c r="A59" s="313">
        <v>42</v>
      </c>
      <c r="B59" s="314" t="s">
        <v>234</v>
      </c>
      <c r="C59" s="315" t="s">
        <v>179</v>
      </c>
      <c r="D59" s="316" t="s">
        <v>188</v>
      </c>
      <c r="E59" s="317">
        <v>731.7</v>
      </c>
      <c r="F59" s="318">
        <v>8048.7</v>
      </c>
      <c r="G59" s="319"/>
      <c r="H59" s="319"/>
      <c r="I59" s="319"/>
      <c r="J59" s="320">
        <f t="shared" ref="J59:J104" si="11">F59-G59-H59</f>
        <v>8048.7</v>
      </c>
      <c r="K59" s="320"/>
      <c r="L59" s="320"/>
      <c r="M59" s="321"/>
      <c r="N59" s="321"/>
      <c r="O59" s="322">
        <v>750</v>
      </c>
      <c r="P59" s="332"/>
      <c r="Q59" s="322">
        <v>200</v>
      </c>
      <c r="R59" s="323"/>
      <c r="S59" s="319"/>
      <c r="T59" s="324">
        <f t="shared" ref="T59:T99" si="12">K59+L59+M59+N59+O59+P59+Q59+R59+S59</f>
        <v>950</v>
      </c>
      <c r="U59" s="325">
        <f t="shared" ref="U59:U104" si="13">J59-T59</f>
        <v>7098.7</v>
      </c>
      <c r="V59" s="326" t="s">
        <v>25</v>
      </c>
      <c r="W59" s="327">
        <v>16097.4</v>
      </c>
      <c r="X59" s="328">
        <f t="shared" ref="X59:X104" si="14">W59/2</f>
        <v>8048.7</v>
      </c>
      <c r="Y59" s="329">
        <v>731.7</v>
      </c>
      <c r="Z59" s="329">
        <v>1.52</v>
      </c>
      <c r="AA59" s="328">
        <f t="shared" si="4"/>
        <v>91.462500000000006</v>
      </c>
    </row>
    <row r="60" spans="1:33" s="330" customFormat="1" ht="17.25" customHeight="1">
      <c r="A60" s="313">
        <v>43</v>
      </c>
      <c r="B60" s="334" t="s">
        <v>235</v>
      </c>
      <c r="C60" s="315" t="s">
        <v>179</v>
      </c>
      <c r="D60" s="316" t="s">
        <v>188</v>
      </c>
      <c r="E60" s="318">
        <v>731.7</v>
      </c>
      <c r="F60" s="319">
        <v>8048.7</v>
      </c>
      <c r="G60" s="319"/>
      <c r="H60" s="319"/>
      <c r="I60" s="319"/>
      <c r="J60" s="320">
        <f t="shared" si="11"/>
        <v>8048.7</v>
      </c>
      <c r="K60" s="320"/>
      <c r="L60" s="320"/>
      <c r="M60" s="321"/>
      <c r="N60" s="321"/>
      <c r="O60" s="322">
        <v>760</v>
      </c>
      <c r="P60" s="332"/>
      <c r="Q60" s="322">
        <v>200</v>
      </c>
      <c r="R60" s="323"/>
      <c r="S60" s="319"/>
      <c r="T60" s="324">
        <f t="shared" si="12"/>
        <v>960</v>
      </c>
      <c r="U60" s="325">
        <f t="shared" si="13"/>
        <v>7088.7</v>
      </c>
      <c r="V60" s="326" t="s">
        <v>25</v>
      </c>
      <c r="W60" s="327">
        <v>16097.4</v>
      </c>
      <c r="X60" s="328">
        <f t="shared" si="14"/>
        <v>8048.7</v>
      </c>
      <c r="Y60" s="329">
        <v>731.7</v>
      </c>
      <c r="Z60" s="329">
        <v>1.52</v>
      </c>
      <c r="AA60" s="328">
        <f t="shared" si="4"/>
        <v>91.462500000000006</v>
      </c>
    </row>
    <row r="61" spans="1:33" s="330" customFormat="1" ht="17.25" customHeight="1">
      <c r="A61" s="313">
        <v>44</v>
      </c>
      <c r="B61" s="314" t="s">
        <v>236</v>
      </c>
      <c r="C61" s="315" t="s">
        <v>179</v>
      </c>
      <c r="D61" s="316" t="s">
        <v>188</v>
      </c>
      <c r="E61" s="317">
        <v>731.7</v>
      </c>
      <c r="F61" s="318">
        <v>8048.7</v>
      </c>
      <c r="G61" s="319"/>
      <c r="H61" s="319"/>
      <c r="I61" s="319"/>
      <c r="J61" s="320">
        <f t="shared" si="11"/>
        <v>8048.7</v>
      </c>
      <c r="K61" s="320"/>
      <c r="L61" s="320"/>
      <c r="M61" s="321"/>
      <c r="N61" s="321"/>
      <c r="O61" s="322">
        <v>750</v>
      </c>
      <c r="P61" s="332"/>
      <c r="Q61" s="322">
        <v>200</v>
      </c>
      <c r="R61" s="323"/>
      <c r="S61" s="319"/>
      <c r="T61" s="324">
        <f t="shared" si="12"/>
        <v>950</v>
      </c>
      <c r="U61" s="325">
        <f t="shared" si="13"/>
        <v>7098.7</v>
      </c>
      <c r="V61" s="326" t="s">
        <v>25</v>
      </c>
      <c r="W61" s="327">
        <v>16097.4</v>
      </c>
      <c r="X61" s="328">
        <f t="shared" si="14"/>
        <v>8048.7</v>
      </c>
      <c r="Y61" s="329">
        <v>731.7</v>
      </c>
      <c r="Z61" s="329">
        <v>1.52</v>
      </c>
      <c r="AA61" s="328">
        <f t="shared" si="4"/>
        <v>91.462500000000006</v>
      </c>
    </row>
    <row r="62" spans="1:33" s="330" customFormat="1" ht="17.25" customHeight="1">
      <c r="A62" s="313">
        <v>45</v>
      </c>
      <c r="B62" s="314" t="s">
        <v>237</v>
      </c>
      <c r="C62" s="315" t="s">
        <v>179</v>
      </c>
      <c r="D62" s="316" t="s">
        <v>188</v>
      </c>
      <c r="E62" s="317">
        <v>731.7</v>
      </c>
      <c r="F62" s="318">
        <v>8048.7</v>
      </c>
      <c r="G62" s="319"/>
      <c r="H62" s="319"/>
      <c r="I62" s="319"/>
      <c r="J62" s="320">
        <f t="shared" si="11"/>
        <v>8048.7</v>
      </c>
      <c r="K62" s="320"/>
      <c r="L62" s="320"/>
      <c r="M62" s="321"/>
      <c r="N62" s="321"/>
      <c r="O62" s="322">
        <v>760</v>
      </c>
      <c r="P62" s="332"/>
      <c r="Q62" s="322">
        <v>200</v>
      </c>
      <c r="R62" s="323"/>
      <c r="S62" s="319"/>
      <c r="T62" s="324">
        <f t="shared" si="12"/>
        <v>960</v>
      </c>
      <c r="U62" s="325">
        <f t="shared" si="13"/>
        <v>7088.7</v>
      </c>
      <c r="V62" s="326" t="s">
        <v>25</v>
      </c>
      <c r="W62" s="327">
        <v>16097.4</v>
      </c>
      <c r="X62" s="328">
        <f t="shared" si="14"/>
        <v>8048.7</v>
      </c>
      <c r="Y62" s="329">
        <v>731.7</v>
      </c>
      <c r="Z62" s="329">
        <v>1.52</v>
      </c>
      <c r="AA62" s="328">
        <f t="shared" si="4"/>
        <v>91.462500000000006</v>
      </c>
    </row>
    <row r="63" spans="1:33" s="330" customFormat="1" ht="17.25" customHeight="1">
      <c r="A63" s="313">
        <v>46</v>
      </c>
      <c r="B63" s="314" t="s">
        <v>238</v>
      </c>
      <c r="C63" s="315" t="s">
        <v>179</v>
      </c>
      <c r="D63" s="316" t="s">
        <v>188</v>
      </c>
      <c r="E63" s="369">
        <v>731.7</v>
      </c>
      <c r="F63" s="318">
        <v>8048.7</v>
      </c>
      <c r="G63" s="319"/>
      <c r="H63" s="319"/>
      <c r="I63" s="319"/>
      <c r="J63" s="320">
        <f t="shared" si="11"/>
        <v>8048.7</v>
      </c>
      <c r="K63" s="320"/>
      <c r="L63" s="320"/>
      <c r="M63" s="321"/>
      <c r="N63" s="321"/>
      <c r="O63" s="322">
        <v>750</v>
      </c>
      <c r="P63" s="322">
        <v>804.87</v>
      </c>
      <c r="Q63" s="322">
        <v>200</v>
      </c>
      <c r="R63" s="323">
        <v>1000</v>
      </c>
      <c r="S63" s="319">
        <v>290</v>
      </c>
      <c r="T63" s="324">
        <f t="shared" si="12"/>
        <v>3044.87</v>
      </c>
      <c r="U63" s="325">
        <f t="shared" si="13"/>
        <v>5003.83</v>
      </c>
      <c r="V63" s="326" t="s">
        <v>25</v>
      </c>
      <c r="W63" s="327">
        <v>16097.4</v>
      </c>
      <c r="X63" s="328">
        <f t="shared" si="14"/>
        <v>8048.7</v>
      </c>
      <c r="Y63" s="329">
        <v>985.8</v>
      </c>
      <c r="Z63" s="329">
        <v>2.0499999999999998</v>
      </c>
      <c r="AA63" s="328">
        <f t="shared" si="4"/>
        <v>123.22499999999999</v>
      </c>
    </row>
    <row r="64" spans="1:33" s="330" customFormat="1" ht="17.25" customHeight="1">
      <c r="A64" s="313">
        <v>47</v>
      </c>
      <c r="B64" s="314" t="s">
        <v>239</v>
      </c>
      <c r="C64" s="315" t="s">
        <v>179</v>
      </c>
      <c r="D64" s="316" t="s">
        <v>188</v>
      </c>
      <c r="E64" s="317">
        <v>731.7</v>
      </c>
      <c r="F64" s="318">
        <v>8048.7</v>
      </c>
      <c r="G64" s="319"/>
      <c r="H64" s="319"/>
      <c r="I64" s="319"/>
      <c r="J64" s="320">
        <f t="shared" si="11"/>
        <v>8048.7</v>
      </c>
      <c r="K64" s="320"/>
      <c r="L64" s="320"/>
      <c r="M64" s="321"/>
      <c r="N64" s="321"/>
      <c r="O64" s="322">
        <v>760</v>
      </c>
      <c r="P64" s="332"/>
      <c r="Q64" s="322">
        <v>200</v>
      </c>
      <c r="R64" s="323"/>
      <c r="S64" s="319"/>
      <c r="T64" s="324">
        <f t="shared" si="12"/>
        <v>960</v>
      </c>
      <c r="U64" s="325">
        <f t="shared" si="13"/>
        <v>7088.7</v>
      </c>
      <c r="V64" s="326" t="s">
        <v>25</v>
      </c>
      <c r="W64" s="327">
        <v>16097.4</v>
      </c>
      <c r="X64" s="328">
        <f t="shared" si="14"/>
        <v>8048.7</v>
      </c>
      <c r="Y64" s="329">
        <v>731.7</v>
      </c>
      <c r="Z64" s="329">
        <v>1.52</v>
      </c>
      <c r="AA64" s="328">
        <f t="shared" si="4"/>
        <v>91.462500000000006</v>
      </c>
    </row>
    <row r="65" spans="1:29" s="330" customFormat="1" ht="17.25" customHeight="1">
      <c r="A65" s="313">
        <v>48</v>
      </c>
      <c r="B65" s="395" t="s">
        <v>240</v>
      </c>
      <c r="C65" s="315" t="s">
        <v>179</v>
      </c>
      <c r="D65" s="316" t="s">
        <v>241</v>
      </c>
      <c r="E65" s="317">
        <v>731.7</v>
      </c>
      <c r="F65" s="318">
        <v>8048.7</v>
      </c>
      <c r="G65" s="319"/>
      <c r="H65" s="319"/>
      <c r="I65" s="319"/>
      <c r="J65" s="320">
        <f t="shared" si="11"/>
        <v>8048.7</v>
      </c>
      <c r="K65" s="320"/>
      <c r="L65" s="320"/>
      <c r="M65" s="321">
        <v>241.46</v>
      </c>
      <c r="N65" s="321">
        <v>160.97</v>
      </c>
      <c r="O65" s="322">
        <v>760</v>
      </c>
      <c r="P65" s="322">
        <v>804.87</v>
      </c>
      <c r="Q65" s="322">
        <v>200</v>
      </c>
      <c r="R65" s="323"/>
      <c r="S65" s="319"/>
      <c r="T65" s="324">
        <f t="shared" si="12"/>
        <v>2167.3000000000002</v>
      </c>
      <c r="U65" s="325">
        <f t="shared" si="13"/>
        <v>5881.4</v>
      </c>
      <c r="V65" s="326"/>
      <c r="W65" s="327">
        <v>16097.4</v>
      </c>
      <c r="X65" s="328">
        <f t="shared" si="14"/>
        <v>8048.7</v>
      </c>
      <c r="Y65" s="329">
        <v>731.7</v>
      </c>
      <c r="Z65" s="329">
        <v>1.52</v>
      </c>
      <c r="AA65" s="328">
        <f t="shared" si="4"/>
        <v>91.462500000000006</v>
      </c>
    </row>
    <row r="66" spans="1:29" s="330" customFormat="1" ht="17.25" customHeight="1">
      <c r="A66" s="313">
        <v>49</v>
      </c>
      <c r="B66" s="395" t="s">
        <v>242</v>
      </c>
      <c r="C66" s="315" t="s">
        <v>179</v>
      </c>
      <c r="D66" s="316" t="s">
        <v>241</v>
      </c>
      <c r="E66" s="317">
        <v>731.7</v>
      </c>
      <c r="F66" s="318">
        <v>8048.7</v>
      </c>
      <c r="G66" s="319"/>
      <c r="H66" s="319"/>
      <c r="I66" s="319"/>
      <c r="J66" s="320">
        <f t="shared" si="11"/>
        <v>8048.7</v>
      </c>
      <c r="K66" s="320"/>
      <c r="L66" s="320"/>
      <c r="M66" s="321"/>
      <c r="N66" s="321"/>
      <c r="O66" s="322">
        <v>760</v>
      </c>
      <c r="P66" s="322">
        <v>804.87</v>
      </c>
      <c r="Q66" s="322">
        <v>400</v>
      </c>
      <c r="R66" s="323"/>
      <c r="S66" s="319"/>
      <c r="T66" s="324">
        <f t="shared" si="12"/>
        <v>1964.87</v>
      </c>
      <c r="U66" s="325">
        <f t="shared" si="13"/>
        <v>6083.83</v>
      </c>
      <c r="V66" s="326" t="s">
        <v>25</v>
      </c>
      <c r="W66" s="327">
        <v>16097.4</v>
      </c>
      <c r="X66" s="328">
        <f t="shared" si="14"/>
        <v>8048.7</v>
      </c>
      <c r="Y66" s="329">
        <v>731.7</v>
      </c>
      <c r="Z66" s="329">
        <v>1.52</v>
      </c>
      <c r="AA66" s="328">
        <f t="shared" si="4"/>
        <v>91.462500000000006</v>
      </c>
      <c r="AB66" s="328">
        <f>Y66/2</f>
        <v>365.85</v>
      </c>
      <c r="AC66" s="328">
        <f>AB66/8</f>
        <v>45.731250000000003</v>
      </c>
    </row>
    <row r="67" spans="1:29" s="330" customFormat="1" ht="17.25" customHeight="1">
      <c r="A67" s="313">
        <v>50</v>
      </c>
      <c r="B67" s="395" t="s">
        <v>243</v>
      </c>
      <c r="C67" s="315" t="s">
        <v>179</v>
      </c>
      <c r="D67" s="337" t="s">
        <v>244</v>
      </c>
      <c r="E67" s="317">
        <v>731.7</v>
      </c>
      <c r="F67" s="318">
        <v>8048.7</v>
      </c>
      <c r="G67" s="319"/>
      <c r="H67" s="319"/>
      <c r="I67" s="319"/>
      <c r="J67" s="320">
        <f t="shared" si="11"/>
        <v>8048.7</v>
      </c>
      <c r="K67" s="320"/>
      <c r="L67" s="320"/>
      <c r="M67" s="321">
        <v>197.56</v>
      </c>
      <c r="N67" s="321">
        <v>131.71</v>
      </c>
      <c r="O67" s="322">
        <v>760</v>
      </c>
      <c r="P67" s="332"/>
      <c r="Q67" s="322">
        <v>200</v>
      </c>
      <c r="R67" s="323"/>
      <c r="S67" s="319"/>
      <c r="T67" s="324">
        <f t="shared" si="12"/>
        <v>1289.27</v>
      </c>
      <c r="U67" s="325">
        <f t="shared" si="13"/>
        <v>6759.43</v>
      </c>
      <c r="V67" s="326"/>
      <c r="W67" s="327">
        <v>16097.4</v>
      </c>
      <c r="X67" s="328">
        <f t="shared" si="14"/>
        <v>8048.7</v>
      </c>
      <c r="Y67" s="329">
        <v>731.7</v>
      </c>
      <c r="Z67" s="329">
        <v>1.52</v>
      </c>
      <c r="AA67" s="328">
        <f t="shared" si="4"/>
        <v>91.462500000000006</v>
      </c>
    </row>
    <row r="68" spans="1:29" s="330" customFormat="1" ht="17.25" customHeight="1">
      <c r="A68" s="313">
        <v>51</v>
      </c>
      <c r="B68" s="314" t="s">
        <v>245</v>
      </c>
      <c r="C68" s="315" t="s">
        <v>179</v>
      </c>
      <c r="D68" s="337" t="s">
        <v>244</v>
      </c>
      <c r="E68" s="317">
        <v>731.7</v>
      </c>
      <c r="F68" s="318">
        <v>8048.7</v>
      </c>
      <c r="G68" s="319"/>
      <c r="H68" s="319"/>
      <c r="I68" s="319"/>
      <c r="J68" s="320">
        <f t="shared" si="11"/>
        <v>8048.7</v>
      </c>
      <c r="K68" s="320"/>
      <c r="L68" s="320"/>
      <c r="M68" s="321"/>
      <c r="N68" s="321"/>
      <c r="O68" s="322">
        <v>760</v>
      </c>
      <c r="P68" s="332"/>
      <c r="Q68" s="322">
        <v>200</v>
      </c>
      <c r="R68" s="323"/>
      <c r="S68" s="319"/>
      <c r="T68" s="324">
        <f t="shared" si="12"/>
        <v>960</v>
      </c>
      <c r="U68" s="325">
        <f t="shared" si="13"/>
        <v>7088.7</v>
      </c>
      <c r="V68" s="326" t="s">
        <v>25</v>
      </c>
      <c r="W68" s="327">
        <v>16097.4</v>
      </c>
      <c r="X68" s="328">
        <f t="shared" si="14"/>
        <v>8048.7</v>
      </c>
      <c r="Y68" s="329">
        <v>1697.35</v>
      </c>
      <c r="Z68" s="329">
        <v>3.54</v>
      </c>
      <c r="AA68" s="328">
        <f t="shared" si="4"/>
        <v>212.16874999999999</v>
      </c>
    </row>
    <row r="69" spans="1:29" s="330" customFormat="1" ht="17.25" customHeight="1">
      <c r="A69" s="313">
        <v>52</v>
      </c>
      <c r="B69" s="314" t="s">
        <v>246</v>
      </c>
      <c r="C69" s="315" t="s">
        <v>179</v>
      </c>
      <c r="D69" s="337" t="s">
        <v>244</v>
      </c>
      <c r="E69" s="317">
        <v>731.7</v>
      </c>
      <c r="F69" s="318">
        <v>8048.7</v>
      </c>
      <c r="G69" s="319"/>
      <c r="H69" s="319"/>
      <c r="I69" s="319"/>
      <c r="J69" s="320">
        <f t="shared" si="11"/>
        <v>8048.7</v>
      </c>
      <c r="K69" s="320"/>
      <c r="L69" s="320"/>
      <c r="M69" s="321"/>
      <c r="N69" s="321"/>
      <c r="O69" s="322">
        <v>750</v>
      </c>
      <c r="P69" s="332"/>
      <c r="Q69" s="322">
        <v>200</v>
      </c>
      <c r="R69" s="323"/>
      <c r="S69" s="319"/>
      <c r="T69" s="324">
        <f t="shared" si="12"/>
        <v>950</v>
      </c>
      <c r="U69" s="325">
        <f t="shared" si="13"/>
        <v>7098.7</v>
      </c>
      <c r="V69" s="326" t="s">
        <v>25</v>
      </c>
      <c r="W69" s="327">
        <v>16097.4</v>
      </c>
      <c r="X69" s="328">
        <f t="shared" si="14"/>
        <v>8048.7</v>
      </c>
      <c r="Y69" s="329">
        <v>1697.35</v>
      </c>
      <c r="Z69" s="329">
        <v>3.54</v>
      </c>
      <c r="AA69" s="328">
        <f t="shared" si="4"/>
        <v>212.16874999999999</v>
      </c>
    </row>
    <row r="70" spans="1:29" s="330" customFormat="1" ht="17.25" customHeight="1">
      <c r="A70" s="313">
        <v>53</v>
      </c>
      <c r="B70" s="314" t="s">
        <v>247</v>
      </c>
      <c r="C70" s="315" t="s">
        <v>179</v>
      </c>
      <c r="D70" s="337" t="s">
        <v>244</v>
      </c>
      <c r="E70" s="369">
        <v>731.7</v>
      </c>
      <c r="F70" s="318">
        <v>8048.7</v>
      </c>
      <c r="G70" s="319"/>
      <c r="H70" s="319"/>
      <c r="I70" s="331"/>
      <c r="J70" s="320">
        <f t="shared" si="11"/>
        <v>8048.7</v>
      </c>
      <c r="K70" s="320"/>
      <c r="L70" s="320"/>
      <c r="M70" s="321">
        <v>241.46</v>
      </c>
      <c r="N70" s="321">
        <v>160.97</v>
      </c>
      <c r="O70" s="322">
        <v>760</v>
      </c>
      <c r="P70" s="332"/>
      <c r="Q70" s="322">
        <v>200</v>
      </c>
      <c r="R70" s="323"/>
      <c r="S70" s="319"/>
      <c r="T70" s="324">
        <f t="shared" si="12"/>
        <v>1362.43</v>
      </c>
      <c r="U70" s="325">
        <f t="shared" si="13"/>
        <v>6686.2699999999995</v>
      </c>
      <c r="V70" s="326"/>
      <c r="W70" s="327">
        <v>16097.4</v>
      </c>
      <c r="X70" s="329">
        <f t="shared" si="14"/>
        <v>8048.7</v>
      </c>
      <c r="Y70" s="329">
        <v>776.1</v>
      </c>
      <c r="Z70" s="329">
        <v>1.62</v>
      </c>
      <c r="AA70" s="328">
        <f t="shared" si="4"/>
        <v>97.012500000000003</v>
      </c>
    </row>
    <row r="71" spans="1:29" s="330" customFormat="1" ht="17.25" customHeight="1">
      <c r="A71" s="313">
        <v>54</v>
      </c>
      <c r="B71" s="314" t="s">
        <v>248</v>
      </c>
      <c r="C71" s="315" t="s">
        <v>179</v>
      </c>
      <c r="D71" s="337" t="s">
        <v>244</v>
      </c>
      <c r="E71" s="317">
        <v>731.7</v>
      </c>
      <c r="F71" s="318">
        <v>8048.7</v>
      </c>
      <c r="G71" s="319"/>
      <c r="H71" s="396"/>
      <c r="I71" s="319"/>
      <c r="J71" s="320">
        <f t="shared" si="11"/>
        <v>8048.7</v>
      </c>
      <c r="K71" s="320"/>
      <c r="L71" s="320"/>
      <c r="M71" s="321"/>
      <c r="N71" s="321"/>
      <c r="O71" s="322">
        <v>760</v>
      </c>
      <c r="P71" s="332"/>
      <c r="Q71" s="322">
        <v>200</v>
      </c>
      <c r="R71" s="323"/>
      <c r="S71" s="319">
        <v>1400</v>
      </c>
      <c r="T71" s="324">
        <f t="shared" si="12"/>
        <v>2360</v>
      </c>
      <c r="U71" s="325">
        <f t="shared" si="13"/>
        <v>5688.7</v>
      </c>
      <c r="V71" s="326" t="s">
        <v>25</v>
      </c>
      <c r="W71" s="327">
        <v>16097.4</v>
      </c>
      <c r="X71" s="328">
        <f t="shared" si="14"/>
        <v>8048.7</v>
      </c>
      <c r="Y71" s="329">
        <v>731.7</v>
      </c>
      <c r="Z71" s="329">
        <v>1.52</v>
      </c>
      <c r="AA71" s="328">
        <f t="shared" si="4"/>
        <v>91.462500000000006</v>
      </c>
    </row>
    <row r="72" spans="1:29" s="330" customFormat="1" ht="17.25" customHeight="1">
      <c r="A72" s="313">
        <v>55</v>
      </c>
      <c r="B72" s="314" t="s">
        <v>249</v>
      </c>
      <c r="C72" s="315" t="s">
        <v>179</v>
      </c>
      <c r="D72" s="337" t="s">
        <v>244</v>
      </c>
      <c r="E72" s="317">
        <v>731.7</v>
      </c>
      <c r="F72" s="318">
        <v>8048.7</v>
      </c>
      <c r="G72" s="319"/>
      <c r="H72" s="319"/>
      <c r="I72" s="319"/>
      <c r="J72" s="320">
        <f t="shared" si="11"/>
        <v>8048.7</v>
      </c>
      <c r="K72" s="320"/>
      <c r="L72" s="320"/>
      <c r="M72" s="321"/>
      <c r="N72" s="321"/>
      <c r="O72" s="322">
        <v>760</v>
      </c>
      <c r="P72" s="332"/>
      <c r="Q72" s="322">
        <v>200</v>
      </c>
      <c r="R72" s="323"/>
      <c r="S72" s="319">
        <v>1400</v>
      </c>
      <c r="T72" s="324">
        <f t="shared" si="12"/>
        <v>2360</v>
      </c>
      <c r="U72" s="325">
        <f t="shared" si="13"/>
        <v>5688.7</v>
      </c>
      <c r="V72" s="326" t="s">
        <v>25</v>
      </c>
      <c r="W72" s="327">
        <v>16097.4</v>
      </c>
      <c r="X72" s="328">
        <f t="shared" si="14"/>
        <v>8048.7</v>
      </c>
      <c r="Y72" s="329">
        <v>731.7</v>
      </c>
      <c r="Z72" s="329">
        <v>1.52</v>
      </c>
      <c r="AA72" s="328">
        <f t="shared" si="4"/>
        <v>91.462500000000006</v>
      </c>
    </row>
    <row r="73" spans="1:29" s="330" customFormat="1" ht="17.25" customHeight="1">
      <c r="A73" s="313">
        <v>56</v>
      </c>
      <c r="B73" s="314" t="s">
        <v>250</v>
      </c>
      <c r="C73" s="315" t="s">
        <v>179</v>
      </c>
      <c r="D73" s="337" t="s">
        <v>244</v>
      </c>
      <c r="E73" s="317">
        <v>731.7</v>
      </c>
      <c r="F73" s="318">
        <v>8048.7</v>
      </c>
      <c r="G73" s="319"/>
      <c r="H73" s="319"/>
      <c r="I73" s="319"/>
      <c r="J73" s="320">
        <f t="shared" si="11"/>
        <v>8048.7</v>
      </c>
      <c r="K73" s="320"/>
      <c r="L73" s="320"/>
      <c r="M73" s="321">
        <v>241.46</v>
      </c>
      <c r="N73" s="321">
        <v>160.97</v>
      </c>
      <c r="O73" s="322">
        <v>760</v>
      </c>
      <c r="P73" s="332"/>
      <c r="Q73" s="322">
        <v>200</v>
      </c>
      <c r="R73" s="323"/>
      <c r="S73" s="319"/>
      <c r="T73" s="324">
        <f t="shared" si="12"/>
        <v>1362.43</v>
      </c>
      <c r="U73" s="325">
        <f t="shared" si="13"/>
        <v>6686.2699999999995</v>
      </c>
      <c r="V73" s="326"/>
      <c r="W73" s="327">
        <v>16097.4</v>
      </c>
      <c r="X73" s="328">
        <f t="shared" si="14"/>
        <v>8048.7</v>
      </c>
      <c r="Y73" s="329">
        <v>731.7</v>
      </c>
      <c r="Z73" s="329">
        <v>1.52</v>
      </c>
      <c r="AA73" s="328">
        <f t="shared" si="4"/>
        <v>91.462500000000006</v>
      </c>
    </row>
    <row r="74" spans="1:29" s="330" customFormat="1" ht="17.25" customHeight="1">
      <c r="A74" s="313">
        <v>57</v>
      </c>
      <c r="B74" s="314" t="s">
        <v>251</v>
      </c>
      <c r="C74" s="315" t="s">
        <v>179</v>
      </c>
      <c r="D74" s="337" t="s">
        <v>244</v>
      </c>
      <c r="E74" s="317">
        <v>731.7</v>
      </c>
      <c r="F74" s="318">
        <v>8048.7</v>
      </c>
      <c r="G74" s="319"/>
      <c r="H74" s="319"/>
      <c r="I74" s="319"/>
      <c r="J74" s="320">
        <f t="shared" si="11"/>
        <v>8048.7</v>
      </c>
      <c r="K74" s="320"/>
      <c r="L74" s="320"/>
      <c r="M74" s="321">
        <v>241.46</v>
      </c>
      <c r="N74" s="321">
        <v>160.97</v>
      </c>
      <c r="O74" s="322">
        <v>760</v>
      </c>
      <c r="P74" s="322">
        <v>804.87</v>
      </c>
      <c r="Q74" s="322">
        <v>200</v>
      </c>
      <c r="R74" s="323"/>
      <c r="S74" s="319">
        <v>1400</v>
      </c>
      <c r="T74" s="324">
        <f t="shared" si="12"/>
        <v>3567.3</v>
      </c>
      <c r="U74" s="325">
        <f t="shared" si="13"/>
        <v>4481.3999999999996</v>
      </c>
      <c r="V74" s="326"/>
      <c r="W74" s="327">
        <v>16097.4</v>
      </c>
      <c r="X74" s="328">
        <f t="shared" si="14"/>
        <v>8048.7</v>
      </c>
      <c r="Y74" s="329">
        <v>731.7</v>
      </c>
      <c r="Z74" s="329">
        <v>1.52</v>
      </c>
      <c r="AA74" s="328">
        <f t="shared" si="4"/>
        <v>91.462500000000006</v>
      </c>
    </row>
    <row r="75" spans="1:29" s="330" customFormat="1" ht="17.25" customHeight="1">
      <c r="A75" s="313">
        <v>58</v>
      </c>
      <c r="B75" s="314" t="s">
        <v>252</v>
      </c>
      <c r="C75" s="315" t="s">
        <v>179</v>
      </c>
      <c r="D75" s="337" t="s">
        <v>244</v>
      </c>
      <c r="E75" s="317">
        <v>731.7</v>
      </c>
      <c r="F75" s="318">
        <v>8048.7</v>
      </c>
      <c r="G75" s="319"/>
      <c r="H75" s="319"/>
      <c r="I75" s="319"/>
      <c r="J75" s="320">
        <f t="shared" si="11"/>
        <v>8048.7</v>
      </c>
      <c r="K75" s="320"/>
      <c r="L75" s="320"/>
      <c r="M75" s="321">
        <v>241.46</v>
      </c>
      <c r="N75" s="321">
        <v>160.97</v>
      </c>
      <c r="O75" s="322">
        <v>2730</v>
      </c>
      <c r="P75" s="332"/>
      <c r="Q75" s="322">
        <v>200</v>
      </c>
      <c r="R75" s="323"/>
      <c r="S75" s="319"/>
      <c r="T75" s="324">
        <f t="shared" si="12"/>
        <v>3332.43</v>
      </c>
      <c r="U75" s="325">
        <f t="shared" si="13"/>
        <v>4716.2700000000004</v>
      </c>
      <c r="V75" s="326"/>
      <c r="W75" s="327">
        <v>16097.4</v>
      </c>
      <c r="X75" s="328">
        <f t="shared" si="14"/>
        <v>8048.7</v>
      </c>
      <c r="Y75" s="329">
        <v>731.7</v>
      </c>
      <c r="Z75" s="329">
        <v>1.52</v>
      </c>
      <c r="AA75" s="328">
        <f t="shared" si="4"/>
        <v>91.462500000000006</v>
      </c>
    </row>
    <row r="76" spans="1:29" s="330" customFormat="1" ht="17.25" customHeight="1">
      <c r="A76" s="313">
        <v>59</v>
      </c>
      <c r="B76" s="314" t="s">
        <v>253</v>
      </c>
      <c r="C76" s="315" t="s">
        <v>179</v>
      </c>
      <c r="D76" s="337" t="s">
        <v>244</v>
      </c>
      <c r="E76" s="317">
        <v>731.7</v>
      </c>
      <c r="F76" s="318">
        <v>8048.7</v>
      </c>
      <c r="G76" s="319"/>
      <c r="H76" s="319"/>
      <c r="I76" s="319"/>
      <c r="J76" s="320">
        <f t="shared" si="11"/>
        <v>8048.7</v>
      </c>
      <c r="K76" s="320"/>
      <c r="L76" s="320"/>
      <c r="M76" s="321">
        <v>241.46</v>
      </c>
      <c r="N76" s="321">
        <v>160.97</v>
      </c>
      <c r="O76" s="322">
        <v>760</v>
      </c>
      <c r="P76" s="322">
        <v>804.87</v>
      </c>
      <c r="Q76" s="322">
        <v>200</v>
      </c>
      <c r="R76" s="323"/>
      <c r="S76" s="319">
        <v>1400</v>
      </c>
      <c r="T76" s="324">
        <f t="shared" si="12"/>
        <v>3567.3</v>
      </c>
      <c r="U76" s="325">
        <f t="shared" si="13"/>
        <v>4481.3999999999996</v>
      </c>
      <c r="V76" s="326"/>
      <c r="W76" s="327">
        <v>16097.4</v>
      </c>
      <c r="X76" s="328">
        <f t="shared" si="14"/>
        <v>8048.7</v>
      </c>
      <c r="Y76" s="329">
        <v>731.7</v>
      </c>
      <c r="Z76" s="329">
        <v>1.52</v>
      </c>
      <c r="AA76" s="328">
        <f t="shared" ref="AA76:AA121" si="15">Y76/8</f>
        <v>91.462500000000006</v>
      </c>
    </row>
    <row r="77" spans="1:29" s="330" customFormat="1" ht="17.25" customHeight="1">
      <c r="A77" s="313">
        <v>60</v>
      </c>
      <c r="B77" s="314" t="s">
        <v>254</v>
      </c>
      <c r="C77" s="315" t="s">
        <v>179</v>
      </c>
      <c r="D77" s="337" t="s">
        <v>244</v>
      </c>
      <c r="E77" s="317">
        <v>731.7</v>
      </c>
      <c r="F77" s="318">
        <v>8048.7</v>
      </c>
      <c r="G77" s="319"/>
      <c r="H77" s="319"/>
      <c r="I77" s="319"/>
      <c r="J77" s="320">
        <f t="shared" si="11"/>
        <v>8048.7</v>
      </c>
      <c r="K77" s="320"/>
      <c r="L77" s="320"/>
      <c r="M77" s="321"/>
      <c r="N77" s="321"/>
      <c r="O77" s="322">
        <v>760</v>
      </c>
      <c r="P77" s="332"/>
      <c r="Q77" s="322">
        <v>200</v>
      </c>
      <c r="R77" s="323"/>
      <c r="S77" s="319">
        <v>1400</v>
      </c>
      <c r="T77" s="324">
        <f t="shared" si="12"/>
        <v>2360</v>
      </c>
      <c r="U77" s="325">
        <f t="shared" si="13"/>
        <v>5688.7</v>
      </c>
      <c r="V77" s="326" t="s">
        <v>25</v>
      </c>
      <c r="W77" s="327">
        <v>16097.4</v>
      </c>
      <c r="X77" s="328">
        <f t="shared" si="14"/>
        <v>8048.7</v>
      </c>
      <c r="Y77" s="329">
        <v>731.7</v>
      </c>
      <c r="Z77" s="329">
        <v>1.52</v>
      </c>
      <c r="AA77" s="328">
        <f t="shared" si="15"/>
        <v>91.462500000000006</v>
      </c>
    </row>
    <row r="78" spans="1:29" s="330" customFormat="1" ht="17.25" customHeight="1">
      <c r="A78" s="313">
        <v>61</v>
      </c>
      <c r="B78" s="314" t="s">
        <v>255</v>
      </c>
      <c r="C78" s="315" t="s">
        <v>179</v>
      </c>
      <c r="D78" s="337" t="s">
        <v>244</v>
      </c>
      <c r="E78" s="317">
        <v>731.7</v>
      </c>
      <c r="F78" s="318">
        <v>8048.7</v>
      </c>
      <c r="G78" s="319"/>
      <c r="H78" s="319"/>
      <c r="I78" s="319"/>
      <c r="J78" s="320">
        <f t="shared" si="11"/>
        <v>8048.7</v>
      </c>
      <c r="K78" s="320"/>
      <c r="L78" s="320"/>
      <c r="M78" s="321"/>
      <c r="N78" s="321"/>
      <c r="O78" s="322">
        <v>760</v>
      </c>
      <c r="P78" s="332"/>
      <c r="Q78" s="322">
        <v>200</v>
      </c>
      <c r="R78" s="323"/>
      <c r="S78" s="319"/>
      <c r="T78" s="324">
        <f t="shared" si="12"/>
        <v>960</v>
      </c>
      <c r="U78" s="325">
        <f t="shared" si="13"/>
        <v>7088.7</v>
      </c>
      <c r="V78" s="326" t="s">
        <v>25</v>
      </c>
      <c r="W78" s="327">
        <v>16097.4</v>
      </c>
      <c r="X78" s="328">
        <f t="shared" si="14"/>
        <v>8048.7</v>
      </c>
      <c r="Y78" s="329">
        <v>731.7</v>
      </c>
      <c r="Z78" s="329">
        <v>1.52</v>
      </c>
      <c r="AA78" s="328">
        <f t="shared" si="15"/>
        <v>91.462500000000006</v>
      </c>
    </row>
    <row r="79" spans="1:29" s="330" customFormat="1" ht="17.25" customHeight="1">
      <c r="A79" s="313">
        <v>62</v>
      </c>
      <c r="B79" s="395" t="s">
        <v>256</v>
      </c>
      <c r="C79" s="315" t="s">
        <v>179</v>
      </c>
      <c r="D79" s="337" t="s">
        <v>257</v>
      </c>
      <c r="E79" s="317">
        <v>731.7</v>
      </c>
      <c r="F79" s="318">
        <v>8048.7</v>
      </c>
      <c r="G79" s="319"/>
      <c r="H79" s="319"/>
      <c r="I79" s="319"/>
      <c r="J79" s="320">
        <f t="shared" si="11"/>
        <v>8048.7</v>
      </c>
      <c r="K79" s="320"/>
      <c r="L79" s="320"/>
      <c r="M79" s="321"/>
      <c r="N79" s="321"/>
      <c r="O79" s="322">
        <v>760</v>
      </c>
      <c r="P79" s="322">
        <v>804.87</v>
      </c>
      <c r="Q79" s="322">
        <v>200</v>
      </c>
      <c r="R79" s="323"/>
      <c r="S79" s="319"/>
      <c r="T79" s="324">
        <f t="shared" si="12"/>
        <v>1764.87</v>
      </c>
      <c r="U79" s="325">
        <f t="shared" si="13"/>
        <v>6283.83</v>
      </c>
      <c r="V79" s="326" t="s">
        <v>25</v>
      </c>
      <c r="W79" s="327">
        <v>16097.4</v>
      </c>
      <c r="X79" s="328">
        <f t="shared" si="14"/>
        <v>8048.7</v>
      </c>
      <c r="Y79" s="329">
        <v>731.7</v>
      </c>
      <c r="Z79" s="329">
        <v>1.52</v>
      </c>
      <c r="AA79" s="328">
        <f t="shared" si="15"/>
        <v>91.462500000000006</v>
      </c>
    </row>
    <row r="80" spans="1:29" s="330" customFormat="1" ht="17.25" customHeight="1">
      <c r="A80" s="313">
        <v>63</v>
      </c>
      <c r="B80" s="314" t="s">
        <v>258</v>
      </c>
      <c r="C80" s="315" t="s">
        <v>179</v>
      </c>
      <c r="D80" s="337" t="s">
        <v>257</v>
      </c>
      <c r="E80" s="317">
        <v>731.7</v>
      </c>
      <c r="F80" s="318">
        <v>8048.7</v>
      </c>
      <c r="G80" s="319"/>
      <c r="H80" s="319"/>
      <c r="I80" s="319"/>
      <c r="J80" s="320">
        <f t="shared" si="11"/>
        <v>8048.7</v>
      </c>
      <c r="K80" s="320"/>
      <c r="L80" s="320"/>
      <c r="M80" s="321">
        <v>236.26</v>
      </c>
      <c r="N80" s="321">
        <v>157.51</v>
      </c>
      <c r="O80" s="322">
        <v>750</v>
      </c>
      <c r="P80" s="322">
        <v>804.87</v>
      </c>
      <c r="Q80" s="322">
        <v>200</v>
      </c>
      <c r="R80" s="323"/>
      <c r="S80" s="319"/>
      <c r="T80" s="324">
        <f t="shared" si="12"/>
        <v>2148.64</v>
      </c>
      <c r="U80" s="325">
        <f t="shared" si="13"/>
        <v>5900.0599999999995</v>
      </c>
      <c r="V80" s="326"/>
      <c r="W80" s="327">
        <v>16097.4</v>
      </c>
      <c r="X80" s="328">
        <f t="shared" si="14"/>
        <v>8048.7</v>
      </c>
      <c r="Y80" s="329">
        <v>731.7</v>
      </c>
      <c r="Z80" s="329">
        <v>1.52</v>
      </c>
      <c r="AA80" s="328">
        <f t="shared" si="15"/>
        <v>91.462500000000006</v>
      </c>
    </row>
    <row r="81" spans="1:30" s="330" customFormat="1" ht="17.25" customHeight="1">
      <c r="A81" s="313">
        <v>64</v>
      </c>
      <c r="B81" s="334" t="s">
        <v>259</v>
      </c>
      <c r="C81" s="315" t="s">
        <v>179</v>
      </c>
      <c r="D81" s="316" t="s">
        <v>260</v>
      </c>
      <c r="E81" s="318">
        <v>731.7</v>
      </c>
      <c r="F81" s="319">
        <v>8048.7</v>
      </c>
      <c r="G81" s="319"/>
      <c r="H81" s="319"/>
      <c r="I81" s="319"/>
      <c r="J81" s="320">
        <f t="shared" si="11"/>
        <v>8048.7</v>
      </c>
      <c r="K81" s="320"/>
      <c r="L81" s="320"/>
      <c r="M81" s="321"/>
      <c r="N81" s="321"/>
      <c r="O81" s="322">
        <v>760</v>
      </c>
      <c r="P81" s="322">
        <v>804.87</v>
      </c>
      <c r="Q81" s="322">
        <v>200</v>
      </c>
      <c r="R81" s="323"/>
      <c r="S81" s="319"/>
      <c r="T81" s="324">
        <f t="shared" si="12"/>
        <v>1764.87</v>
      </c>
      <c r="U81" s="325">
        <f t="shared" si="13"/>
        <v>6283.83</v>
      </c>
      <c r="V81" s="326" t="s">
        <v>25</v>
      </c>
      <c r="W81" s="327">
        <v>16097.4</v>
      </c>
      <c r="X81" s="328">
        <f t="shared" si="14"/>
        <v>8048.7</v>
      </c>
      <c r="Y81" s="329">
        <v>731.7</v>
      </c>
      <c r="Z81" s="329">
        <v>1.52</v>
      </c>
      <c r="AA81" s="328">
        <f t="shared" si="15"/>
        <v>91.462500000000006</v>
      </c>
    </row>
    <row r="82" spans="1:30" s="330" customFormat="1" ht="17.25" customHeight="1">
      <c r="A82" s="313">
        <v>65</v>
      </c>
      <c r="B82" s="395" t="s">
        <v>261</v>
      </c>
      <c r="C82" s="315" t="s">
        <v>179</v>
      </c>
      <c r="D82" s="316" t="s">
        <v>260</v>
      </c>
      <c r="E82" s="318">
        <v>731.7</v>
      </c>
      <c r="F82" s="318">
        <v>8048.7</v>
      </c>
      <c r="G82" s="319"/>
      <c r="H82" s="319"/>
      <c r="I82" s="319"/>
      <c r="J82" s="320">
        <f t="shared" si="11"/>
        <v>8048.7</v>
      </c>
      <c r="K82" s="320"/>
      <c r="L82" s="320"/>
      <c r="M82" s="321"/>
      <c r="N82" s="321"/>
      <c r="O82" s="322">
        <v>760</v>
      </c>
      <c r="P82" s="322">
        <v>804.87</v>
      </c>
      <c r="Q82" s="322">
        <v>200</v>
      </c>
      <c r="R82" s="323"/>
      <c r="S82" s="319"/>
      <c r="T82" s="324">
        <f t="shared" si="12"/>
        <v>1764.87</v>
      </c>
      <c r="U82" s="325">
        <f t="shared" si="13"/>
        <v>6283.83</v>
      </c>
      <c r="V82" s="326" t="s">
        <v>25</v>
      </c>
      <c r="W82" s="327">
        <v>16097.4</v>
      </c>
      <c r="X82" s="328">
        <f t="shared" si="14"/>
        <v>8048.7</v>
      </c>
      <c r="Y82" s="329">
        <v>731.7</v>
      </c>
      <c r="Z82" s="329">
        <v>1.52</v>
      </c>
      <c r="AA82" s="328">
        <f t="shared" si="15"/>
        <v>91.462500000000006</v>
      </c>
    </row>
    <row r="83" spans="1:30" s="330" customFormat="1" ht="17.25" customHeight="1">
      <c r="A83" s="313">
        <v>66</v>
      </c>
      <c r="B83" s="314" t="s">
        <v>262</v>
      </c>
      <c r="C83" s="315" t="s">
        <v>179</v>
      </c>
      <c r="D83" s="316" t="s">
        <v>260</v>
      </c>
      <c r="E83" s="317">
        <v>731.7</v>
      </c>
      <c r="F83" s="318">
        <v>8048.7</v>
      </c>
      <c r="G83" s="319"/>
      <c r="H83" s="319"/>
      <c r="I83" s="319"/>
      <c r="J83" s="320">
        <f t="shared" si="11"/>
        <v>8048.7</v>
      </c>
      <c r="K83" s="320"/>
      <c r="L83" s="320"/>
      <c r="M83" s="321"/>
      <c r="N83" s="321"/>
      <c r="O83" s="322">
        <v>760</v>
      </c>
      <c r="P83" s="322">
        <v>804.87</v>
      </c>
      <c r="Q83" s="322">
        <v>200</v>
      </c>
      <c r="R83" s="323"/>
      <c r="S83" s="319"/>
      <c r="T83" s="324">
        <f t="shared" si="12"/>
        <v>1764.87</v>
      </c>
      <c r="U83" s="325">
        <f t="shared" si="13"/>
        <v>6283.83</v>
      </c>
      <c r="V83" s="326" t="s">
        <v>25</v>
      </c>
      <c r="W83" s="327">
        <v>16097.4</v>
      </c>
      <c r="X83" s="328">
        <f t="shared" si="14"/>
        <v>8048.7</v>
      </c>
      <c r="Y83" s="329">
        <v>985.8</v>
      </c>
      <c r="Z83" s="329">
        <f>Y83/8/60</f>
        <v>2.05375</v>
      </c>
      <c r="AA83" s="328">
        <f t="shared" si="15"/>
        <v>123.22499999999999</v>
      </c>
    </row>
    <row r="84" spans="1:30" s="330" customFormat="1" ht="17.25" customHeight="1">
      <c r="A84" s="313">
        <v>67</v>
      </c>
      <c r="B84" s="314" t="s">
        <v>263</v>
      </c>
      <c r="C84" s="315" t="s">
        <v>179</v>
      </c>
      <c r="D84" s="316" t="s">
        <v>260</v>
      </c>
      <c r="E84" s="318">
        <v>985.8</v>
      </c>
      <c r="F84" s="318">
        <v>10843.8</v>
      </c>
      <c r="G84" s="319"/>
      <c r="H84" s="319"/>
      <c r="I84" s="319"/>
      <c r="J84" s="320">
        <f t="shared" si="11"/>
        <v>10843.8</v>
      </c>
      <c r="K84" s="331">
        <v>961.15</v>
      </c>
      <c r="L84" s="320"/>
      <c r="M84" s="321"/>
      <c r="N84" s="321"/>
      <c r="O84" s="322">
        <v>760</v>
      </c>
      <c r="P84" s="322">
        <v>1084.3800000000001</v>
      </c>
      <c r="Q84" s="322">
        <v>200</v>
      </c>
      <c r="R84" s="323"/>
      <c r="S84" s="319"/>
      <c r="T84" s="324">
        <f t="shared" si="12"/>
        <v>3005.53</v>
      </c>
      <c r="U84" s="325">
        <f t="shared" si="13"/>
        <v>7838.2699999999986</v>
      </c>
      <c r="V84" s="326"/>
      <c r="W84" s="327">
        <v>21687.599999999999</v>
      </c>
      <c r="X84" s="328">
        <f t="shared" si="14"/>
        <v>10843.8</v>
      </c>
      <c r="Y84" s="329">
        <v>731.7</v>
      </c>
      <c r="Z84" s="329">
        <v>1.52</v>
      </c>
      <c r="AA84" s="328">
        <f t="shared" si="15"/>
        <v>91.462500000000006</v>
      </c>
    </row>
    <row r="85" spans="1:30" s="330" customFormat="1" ht="17.25" customHeight="1">
      <c r="A85" s="313">
        <v>68</v>
      </c>
      <c r="B85" s="334" t="s">
        <v>264</v>
      </c>
      <c r="C85" s="315" t="s">
        <v>179</v>
      </c>
      <c r="D85" s="316" t="s">
        <v>260</v>
      </c>
      <c r="E85" s="318">
        <v>731.7</v>
      </c>
      <c r="F85" s="319">
        <v>8048.7</v>
      </c>
      <c r="G85" s="319"/>
      <c r="H85" s="319"/>
      <c r="I85" s="319"/>
      <c r="J85" s="320">
        <f t="shared" si="11"/>
        <v>8048.7</v>
      </c>
      <c r="K85" s="320"/>
      <c r="L85" s="320"/>
      <c r="M85" s="321"/>
      <c r="N85" s="321"/>
      <c r="O85" s="322">
        <v>760</v>
      </c>
      <c r="P85" s="322">
        <v>804.87</v>
      </c>
      <c r="Q85" s="322">
        <v>200</v>
      </c>
      <c r="R85" s="323"/>
      <c r="S85" s="319"/>
      <c r="T85" s="324">
        <f t="shared" si="12"/>
        <v>1764.87</v>
      </c>
      <c r="U85" s="325">
        <f t="shared" si="13"/>
        <v>6283.83</v>
      </c>
      <c r="V85" s="326" t="s">
        <v>25</v>
      </c>
      <c r="W85" s="327">
        <v>16097.4</v>
      </c>
      <c r="X85" s="328">
        <f t="shared" si="14"/>
        <v>8048.7</v>
      </c>
      <c r="Y85" s="329">
        <v>731.7</v>
      </c>
      <c r="Z85" s="329">
        <v>1.52</v>
      </c>
      <c r="AA85" s="328">
        <f t="shared" si="15"/>
        <v>91.462500000000006</v>
      </c>
    </row>
    <row r="86" spans="1:30" s="330" customFormat="1" ht="17.25" customHeight="1">
      <c r="A86" s="313">
        <v>69</v>
      </c>
      <c r="B86" s="314" t="s">
        <v>265</v>
      </c>
      <c r="C86" s="315" t="s">
        <v>179</v>
      </c>
      <c r="D86" s="316" t="s">
        <v>260</v>
      </c>
      <c r="E86" s="317">
        <v>731.7</v>
      </c>
      <c r="F86" s="318">
        <v>8048.7</v>
      </c>
      <c r="G86" s="319"/>
      <c r="H86" s="319"/>
      <c r="I86" s="319"/>
      <c r="J86" s="320">
        <f t="shared" si="11"/>
        <v>8048.7</v>
      </c>
      <c r="K86" s="320"/>
      <c r="L86" s="320"/>
      <c r="M86" s="321"/>
      <c r="N86" s="321"/>
      <c r="O86" s="322">
        <v>760</v>
      </c>
      <c r="P86" s="322">
        <v>804.87</v>
      </c>
      <c r="Q86" s="322">
        <v>200</v>
      </c>
      <c r="R86" s="323"/>
      <c r="S86" s="319"/>
      <c r="T86" s="324">
        <f t="shared" si="12"/>
        <v>1764.87</v>
      </c>
      <c r="U86" s="325">
        <f t="shared" si="13"/>
        <v>6283.83</v>
      </c>
      <c r="V86" s="326" t="s">
        <v>25</v>
      </c>
      <c r="W86" s="327">
        <v>16097.4</v>
      </c>
      <c r="X86" s="328">
        <f t="shared" si="14"/>
        <v>8048.7</v>
      </c>
      <c r="Y86" s="329">
        <v>731.7</v>
      </c>
      <c r="Z86" s="329">
        <v>1.52</v>
      </c>
      <c r="AA86" s="328">
        <f t="shared" si="15"/>
        <v>91.462500000000006</v>
      </c>
    </row>
    <row r="87" spans="1:30" s="330" customFormat="1" ht="17.25" customHeight="1">
      <c r="A87" s="313">
        <v>70</v>
      </c>
      <c r="B87" s="314" t="s">
        <v>266</v>
      </c>
      <c r="C87" s="315" t="s">
        <v>179</v>
      </c>
      <c r="D87" s="316" t="s">
        <v>260</v>
      </c>
      <c r="E87" s="317">
        <v>731.7</v>
      </c>
      <c r="F87" s="318">
        <v>8048.7</v>
      </c>
      <c r="G87" s="319"/>
      <c r="H87" s="319"/>
      <c r="I87" s="319"/>
      <c r="J87" s="320">
        <f t="shared" si="11"/>
        <v>8048.7</v>
      </c>
      <c r="K87" s="320"/>
      <c r="L87" s="320"/>
      <c r="M87" s="321"/>
      <c r="N87" s="321"/>
      <c r="O87" s="322">
        <v>760</v>
      </c>
      <c r="P87" s="322">
        <v>804.87</v>
      </c>
      <c r="Q87" s="322">
        <v>200</v>
      </c>
      <c r="R87" s="323"/>
      <c r="S87" s="319"/>
      <c r="T87" s="324">
        <f t="shared" si="12"/>
        <v>1764.87</v>
      </c>
      <c r="U87" s="325">
        <f t="shared" si="13"/>
        <v>6283.83</v>
      </c>
      <c r="V87" s="326" t="s">
        <v>25</v>
      </c>
      <c r="W87" s="327">
        <v>16097.4</v>
      </c>
      <c r="X87" s="328">
        <f t="shared" si="14"/>
        <v>8048.7</v>
      </c>
      <c r="Y87" s="329">
        <v>731.7</v>
      </c>
      <c r="Z87" s="329">
        <v>1.52</v>
      </c>
      <c r="AA87" s="328">
        <f t="shared" si="15"/>
        <v>91.462500000000006</v>
      </c>
    </row>
    <row r="88" spans="1:30" s="330" customFormat="1" ht="17.25" customHeight="1">
      <c r="A88" s="313">
        <v>71</v>
      </c>
      <c r="B88" s="339" t="s">
        <v>267</v>
      </c>
      <c r="C88" s="315" t="s">
        <v>179</v>
      </c>
      <c r="D88" s="316" t="s">
        <v>260</v>
      </c>
      <c r="E88" s="317">
        <v>731.7</v>
      </c>
      <c r="F88" s="318">
        <v>8048.7</v>
      </c>
      <c r="G88" s="319"/>
      <c r="H88" s="319"/>
      <c r="I88" s="319"/>
      <c r="J88" s="320">
        <f t="shared" si="11"/>
        <v>8048.7</v>
      </c>
      <c r="K88" s="320"/>
      <c r="L88" s="320"/>
      <c r="M88" s="321"/>
      <c r="N88" s="321"/>
      <c r="O88" s="322">
        <v>760</v>
      </c>
      <c r="P88" s="332"/>
      <c r="Q88" s="322">
        <v>200</v>
      </c>
      <c r="R88" s="323"/>
      <c r="S88" s="319"/>
      <c r="T88" s="324">
        <f t="shared" si="12"/>
        <v>960</v>
      </c>
      <c r="U88" s="325">
        <f t="shared" si="13"/>
        <v>7088.7</v>
      </c>
      <c r="V88" s="333" t="s">
        <v>25</v>
      </c>
      <c r="W88" s="327">
        <v>16097.4</v>
      </c>
      <c r="X88" s="328">
        <f t="shared" si="14"/>
        <v>8048.7</v>
      </c>
      <c r="Y88" s="329">
        <v>731.7</v>
      </c>
      <c r="Z88" s="329">
        <v>1.52</v>
      </c>
      <c r="AA88" s="328">
        <f t="shared" si="15"/>
        <v>91.462500000000006</v>
      </c>
      <c r="AC88" s="330" t="s">
        <v>68</v>
      </c>
    </row>
    <row r="89" spans="1:30" s="330" customFormat="1" ht="17.25" customHeight="1">
      <c r="A89" s="313">
        <v>72</v>
      </c>
      <c r="B89" s="380" t="s">
        <v>268</v>
      </c>
      <c r="C89" s="315" t="s">
        <v>179</v>
      </c>
      <c r="D89" s="316" t="s">
        <v>260</v>
      </c>
      <c r="E89" s="317">
        <v>731.7</v>
      </c>
      <c r="F89" s="318">
        <v>8048.7</v>
      </c>
      <c r="G89" s="319"/>
      <c r="H89" s="319"/>
      <c r="I89" s="319"/>
      <c r="J89" s="320">
        <f t="shared" si="11"/>
        <v>8048.7</v>
      </c>
      <c r="K89" s="320"/>
      <c r="L89" s="320"/>
      <c r="M89" s="321"/>
      <c r="N89" s="321"/>
      <c r="O89" s="322">
        <v>760</v>
      </c>
      <c r="P89" s="322">
        <v>804.87</v>
      </c>
      <c r="Q89" s="322">
        <v>200</v>
      </c>
      <c r="R89" s="323"/>
      <c r="S89" s="319"/>
      <c r="T89" s="324">
        <f t="shared" si="12"/>
        <v>1764.87</v>
      </c>
      <c r="U89" s="325">
        <f t="shared" si="13"/>
        <v>6283.83</v>
      </c>
      <c r="V89" s="326" t="s">
        <v>25</v>
      </c>
      <c r="W89" s="327">
        <v>16097.4</v>
      </c>
      <c r="X89" s="328">
        <f t="shared" si="14"/>
        <v>8048.7</v>
      </c>
      <c r="Y89" s="329">
        <v>731.7</v>
      </c>
      <c r="Z89" s="329">
        <v>1.52</v>
      </c>
      <c r="AA89" s="328">
        <f t="shared" si="15"/>
        <v>91.462500000000006</v>
      </c>
    </row>
    <row r="90" spans="1:30" s="330" customFormat="1" ht="17.25" customHeight="1">
      <c r="A90" s="313">
        <v>73</v>
      </c>
      <c r="B90" s="314" t="s">
        <v>269</v>
      </c>
      <c r="C90" s="315" t="s">
        <v>179</v>
      </c>
      <c r="D90" s="316" t="s">
        <v>260</v>
      </c>
      <c r="E90" s="317">
        <v>731.7</v>
      </c>
      <c r="F90" s="318">
        <v>8048.7</v>
      </c>
      <c r="G90" s="319"/>
      <c r="H90" s="319"/>
      <c r="I90" s="319"/>
      <c r="J90" s="320">
        <f t="shared" si="11"/>
        <v>8048.7</v>
      </c>
      <c r="K90" s="320"/>
      <c r="L90" s="320"/>
      <c r="M90" s="320"/>
      <c r="N90" s="320"/>
      <c r="O90" s="397">
        <v>760</v>
      </c>
      <c r="P90" s="332"/>
      <c r="Q90" s="322">
        <v>200</v>
      </c>
      <c r="R90" s="320"/>
      <c r="S90" s="320"/>
      <c r="T90" s="324">
        <f t="shared" si="12"/>
        <v>960</v>
      </c>
      <c r="U90" s="325">
        <f t="shared" si="13"/>
        <v>7088.7</v>
      </c>
      <c r="V90" s="326" t="s">
        <v>25</v>
      </c>
      <c r="W90" s="327">
        <v>16097.4</v>
      </c>
      <c r="X90" s="328">
        <f t="shared" si="14"/>
        <v>8048.7</v>
      </c>
      <c r="Y90" s="329">
        <v>731.7</v>
      </c>
      <c r="Z90" s="329">
        <v>1.52</v>
      </c>
      <c r="AA90" s="328">
        <f t="shared" si="15"/>
        <v>91.462500000000006</v>
      </c>
    </row>
    <row r="91" spans="1:30" s="330" customFormat="1" ht="17.25" customHeight="1">
      <c r="A91" s="313">
        <v>74</v>
      </c>
      <c r="B91" s="314" t="s">
        <v>270</v>
      </c>
      <c r="C91" s="315" t="s">
        <v>179</v>
      </c>
      <c r="D91" s="316" t="s">
        <v>260</v>
      </c>
      <c r="E91" s="317">
        <v>731.7</v>
      </c>
      <c r="F91" s="318">
        <v>8048.7</v>
      </c>
      <c r="G91" s="319"/>
      <c r="H91" s="319"/>
      <c r="I91" s="319"/>
      <c r="J91" s="320">
        <f t="shared" si="11"/>
        <v>8048.7</v>
      </c>
      <c r="K91" s="320"/>
      <c r="L91" s="320"/>
      <c r="M91" s="321"/>
      <c r="N91" s="321"/>
      <c r="O91" s="322">
        <v>760</v>
      </c>
      <c r="P91" s="322">
        <v>804.87</v>
      </c>
      <c r="Q91" s="322">
        <v>200</v>
      </c>
      <c r="R91" s="323"/>
      <c r="S91" s="319"/>
      <c r="T91" s="324">
        <f t="shared" si="12"/>
        <v>1764.87</v>
      </c>
      <c r="U91" s="325">
        <f t="shared" si="13"/>
        <v>6283.83</v>
      </c>
      <c r="V91" s="326" t="s">
        <v>25</v>
      </c>
      <c r="W91" s="327">
        <v>16097.4</v>
      </c>
      <c r="X91" s="328">
        <f t="shared" si="14"/>
        <v>8048.7</v>
      </c>
      <c r="Y91" s="329">
        <v>731.7</v>
      </c>
      <c r="Z91" s="329">
        <v>1.52</v>
      </c>
      <c r="AA91" s="328">
        <f t="shared" si="15"/>
        <v>91.462500000000006</v>
      </c>
    </row>
    <row r="92" spans="1:30" s="330" customFormat="1" ht="17.25" customHeight="1">
      <c r="A92" s="313">
        <v>75</v>
      </c>
      <c r="B92" s="334" t="s">
        <v>271</v>
      </c>
      <c r="C92" s="315" t="s">
        <v>179</v>
      </c>
      <c r="D92" s="316" t="s">
        <v>272</v>
      </c>
      <c r="E92" s="318">
        <v>731.7</v>
      </c>
      <c r="F92" s="318">
        <v>8048.7</v>
      </c>
      <c r="G92" s="319"/>
      <c r="H92" s="319"/>
      <c r="I92" s="319"/>
      <c r="J92" s="320">
        <f t="shared" si="11"/>
        <v>8048.7</v>
      </c>
      <c r="K92" s="320"/>
      <c r="L92" s="320"/>
      <c r="M92" s="321"/>
      <c r="N92" s="321"/>
      <c r="O92" s="322">
        <v>760</v>
      </c>
      <c r="P92" s="322">
        <v>804.87</v>
      </c>
      <c r="Q92" s="322">
        <v>200</v>
      </c>
      <c r="R92" s="323"/>
      <c r="S92" s="319"/>
      <c r="T92" s="324">
        <f t="shared" si="12"/>
        <v>1764.87</v>
      </c>
      <c r="U92" s="325">
        <f t="shared" si="13"/>
        <v>6283.83</v>
      </c>
      <c r="V92" s="326" t="s">
        <v>25</v>
      </c>
      <c r="W92" s="327">
        <v>16097.4</v>
      </c>
      <c r="X92" s="328">
        <f t="shared" si="14"/>
        <v>8048.7</v>
      </c>
      <c r="Y92" s="329">
        <v>731.7</v>
      </c>
      <c r="Z92" s="329">
        <v>1.52</v>
      </c>
      <c r="AA92" s="328">
        <f t="shared" si="15"/>
        <v>91.462500000000006</v>
      </c>
      <c r="AB92" s="328"/>
      <c r="AC92" s="328"/>
      <c r="AD92" s="328"/>
    </row>
    <row r="93" spans="1:30" s="330" customFormat="1" ht="17.25" customHeight="1">
      <c r="A93" s="313">
        <v>76</v>
      </c>
      <c r="B93" s="314" t="s">
        <v>273</v>
      </c>
      <c r="C93" s="315" t="s">
        <v>179</v>
      </c>
      <c r="D93" s="316" t="s">
        <v>274</v>
      </c>
      <c r="E93" s="318">
        <v>731.7</v>
      </c>
      <c r="F93" s="318">
        <v>8048.7</v>
      </c>
      <c r="G93" s="319"/>
      <c r="H93" s="319"/>
      <c r="I93" s="319"/>
      <c r="J93" s="320">
        <f t="shared" si="11"/>
        <v>8048.7</v>
      </c>
      <c r="K93" s="320"/>
      <c r="L93" s="320"/>
      <c r="M93" s="321"/>
      <c r="N93" s="321"/>
      <c r="O93" s="322">
        <v>1135</v>
      </c>
      <c r="P93" s="322">
        <v>804.87</v>
      </c>
      <c r="Q93" s="322">
        <v>200</v>
      </c>
      <c r="R93" s="323"/>
      <c r="S93" s="319"/>
      <c r="T93" s="324">
        <f t="shared" si="12"/>
        <v>2139.87</v>
      </c>
      <c r="U93" s="325">
        <f t="shared" si="13"/>
        <v>5908.83</v>
      </c>
      <c r="V93" s="326" t="s">
        <v>25</v>
      </c>
      <c r="W93" s="327">
        <v>16097.4</v>
      </c>
      <c r="X93" s="328">
        <f t="shared" si="14"/>
        <v>8048.7</v>
      </c>
      <c r="Y93" s="329">
        <v>731.7</v>
      </c>
      <c r="Z93" s="329">
        <v>1.52</v>
      </c>
      <c r="AA93" s="328">
        <f t="shared" si="15"/>
        <v>91.462500000000006</v>
      </c>
    </row>
    <row r="94" spans="1:30" s="330" customFormat="1" ht="17.25" customHeight="1">
      <c r="A94" s="313">
        <v>77</v>
      </c>
      <c r="B94" s="314" t="s">
        <v>275</v>
      </c>
      <c r="C94" s="315" t="s">
        <v>179</v>
      </c>
      <c r="D94" s="316" t="s">
        <v>274</v>
      </c>
      <c r="E94" s="318">
        <v>1697.35</v>
      </c>
      <c r="F94" s="318">
        <v>18670.849999999999</v>
      </c>
      <c r="G94" s="319"/>
      <c r="H94" s="319"/>
      <c r="I94" s="319"/>
      <c r="J94" s="320">
        <f t="shared" si="11"/>
        <v>18670.849999999999</v>
      </c>
      <c r="K94" s="331"/>
      <c r="L94" s="331"/>
      <c r="M94" s="321">
        <v>535.91</v>
      </c>
      <c r="N94" s="321"/>
      <c r="O94" s="322">
        <v>985</v>
      </c>
      <c r="P94" s="322">
        <v>1867.09</v>
      </c>
      <c r="Q94" s="322">
        <v>200</v>
      </c>
      <c r="R94" s="323"/>
      <c r="S94" s="319"/>
      <c r="T94" s="324">
        <f t="shared" si="12"/>
        <v>3588</v>
      </c>
      <c r="U94" s="325">
        <f t="shared" si="13"/>
        <v>15082.849999999999</v>
      </c>
      <c r="V94" s="326" t="s">
        <v>25</v>
      </c>
      <c r="W94" s="327">
        <v>37341.699999999997</v>
      </c>
      <c r="X94" s="328">
        <f t="shared" si="14"/>
        <v>18670.849999999999</v>
      </c>
      <c r="Y94" s="329">
        <v>731.7</v>
      </c>
      <c r="Z94" s="329">
        <v>1.52</v>
      </c>
      <c r="AA94" s="328">
        <f t="shared" si="15"/>
        <v>91.462500000000006</v>
      </c>
    </row>
    <row r="95" spans="1:30" s="330" customFormat="1" ht="17.25" customHeight="1">
      <c r="A95" s="313">
        <v>78</v>
      </c>
      <c r="B95" s="314" t="s">
        <v>276</v>
      </c>
      <c r="C95" s="315" t="s">
        <v>179</v>
      </c>
      <c r="D95" s="316" t="s">
        <v>274</v>
      </c>
      <c r="E95" s="318">
        <v>1697.35</v>
      </c>
      <c r="F95" s="318">
        <v>18670.849999999999</v>
      </c>
      <c r="G95" s="319"/>
      <c r="H95" s="319"/>
      <c r="I95" s="319"/>
      <c r="J95" s="320">
        <f t="shared" si="11"/>
        <v>18670.849999999999</v>
      </c>
      <c r="K95" s="320"/>
      <c r="L95" s="331">
        <v>825.42</v>
      </c>
      <c r="M95" s="321"/>
      <c r="N95" s="321"/>
      <c r="O95" s="322">
        <v>760</v>
      </c>
      <c r="P95" s="332"/>
      <c r="Q95" s="322">
        <v>200</v>
      </c>
      <c r="R95" s="323"/>
      <c r="S95" s="319"/>
      <c r="T95" s="324">
        <f t="shared" si="12"/>
        <v>1785.42</v>
      </c>
      <c r="U95" s="325">
        <f t="shared" si="13"/>
        <v>16885.43</v>
      </c>
      <c r="V95" s="326" t="s">
        <v>25</v>
      </c>
      <c r="W95" s="327">
        <v>37341.699999999997</v>
      </c>
      <c r="X95" s="328">
        <f t="shared" si="14"/>
        <v>18670.849999999999</v>
      </c>
      <c r="Y95" s="329">
        <v>731.7</v>
      </c>
      <c r="Z95" s="329">
        <v>1.52</v>
      </c>
      <c r="AA95" s="328">
        <f t="shared" si="15"/>
        <v>91.462500000000006</v>
      </c>
    </row>
    <row r="96" spans="1:30" s="330" customFormat="1" ht="17.25" customHeight="1">
      <c r="A96" s="313">
        <v>79</v>
      </c>
      <c r="B96" s="314" t="s">
        <v>277</v>
      </c>
      <c r="C96" s="315" t="s">
        <v>179</v>
      </c>
      <c r="D96" s="316" t="s">
        <v>274</v>
      </c>
      <c r="E96" s="318">
        <v>925.9</v>
      </c>
      <c r="F96" s="318">
        <v>10184.9</v>
      </c>
      <c r="G96" s="319"/>
      <c r="H96" s="319"/>
      <c r="I96" s="319"/>
      <c r="J96" s="320">
        <f t="shared" si="11"/>
        <v>10184.9</v>
      </c>
      <c r="K96" s="320"/>
      <c r="L96" s="320"/>
      <c r="M96" s="321">
        <v>305.45999999999998</v>
      </c>
      <c r="N96" s="321">
        <v>203.64</v>
      </c>
      <c r="O96" s="322">
        <v>760</v>
      </c>
      <c r="P96" s="322">
        <v>1018.49</v>
      </c>
      <c r="Q96" s="322">
        <v>200</v>
      </c>
      <c r="R96" s="323"/>
      <c r="S96" s="319">
        <v>1400</v>
      </c>
      <c r="T96" s="324">
        <f t="shared" si="12"/>
        <v>3887.59</v>
      </c>
      <c r="U96" s="325">
        <f t="shared" si="13"/>
        <v>6297.3099999999995</v>
      </c>
      <c r="V96" s="326"/>
      <c r="W96" s="327">
        <v>20369.8</v>
      </c>
      <c r="X96" s="328">
        <f t="shared" si="14"/>
        <v>10184.9</v>
      </c>
      <c r="Y96" s="329">
        <v>731.7</v>
      </c>
      <c r="Z96" s="329">
        <v>1.52</v>
      </c>
      <c r="AA96" s="328">
        <f t="shared" si="15"/>
        <v>91.462500000000006</v>
      </c>
    </row>
    <row r="97" spans="1:34" s="330" customFormat="1" ht="17.25" customHeight="1">
      <c r="A97" s="313">
        <v>80</v>
      </c>
      <c r="B97" s="314" t="s">
        <v>278</v>
      </c>
      <c r="C97" s="315" t="s">
        <v>179</v>
      </c>
      <c r="D97" s="316" t="s">
        <v>274</v>
      </c>
      <c r="E97" s="318">
        <v>985.8</v>
      </c>
      <c r="F97" s="318">
        <v>10843.8</v>
      </c>
      <c r="G97" s="319"/>
      <c r="H97" s="319"/>
      <c r="I97" s="319"/>
      <c r="J97" s="320">
        <f t="shared" si="11"/>
        <v>10843.8</v>
      </c>
      <c r="K97" s="320"/>
      <c r="L97" s="331">
        <v>42.71</v>
      </c>
      <c r="M97" s="321"/>
      <c r="N97" s="321"/>
      <c r="O97" s="322">
        <v>760</v>
      </c>
      <c r="P97" s="332"/>
      <c r="Q97" s="322">
        <v>200</v>
      </c>
      <c r="R97" s="323"/>
      <c r="S97" s="319"/>
      <c r="T97" s="324">
        <f t="shared" si="12"/>
        <v>1002.71</v>
      </c>
      <c r="U97" s="325">
        <f t="shared" si="13"/>
        <v>9841.09</v>
      </c>
      <c r="V97" s="326" t="s">
        <v>25</v>
      </c>
      <c r="W97" s="327">
        <v>21687.599999999999</v>
      </c>
      <c r="X97" s="328">
        <f t="shared" si="14"/>
        <v>10843.8</v>
      </c>
      <c r="Y97" s="329">
        <v>731.7</v>
      </c>
      <c r="Z97" s="329">
        <v>1.52</v>
      </c>
      <c r="AA97" s="328">
        <f t="shared" si="15"/>
        <v>91.462500000000006</v>
      </c>
    </row>
    <row r="98" spans="1:34" s="330" customFormat="1" ht="17.25" customHeight="1">
      <c r="A98" s="313">
        <v>81</v>
      </c>
      <c r="B98" s="314" t="s">
        <v>279</v>
      </c>
      <c r="C98" s="315" t="s">
        <v>179</v>
      </c>
      <c r="D98" s="316" t="s">
        <v>274</v>
      </c>
      <c r="E98" s="317">
        <v>776.1</v>
      </c>
      <c r="F98" s="318">
        <v>8537.1</v>
      </c>
      <c r="G98" s="319"/>
      <c r="H98" s="319"/>
      <c r="I98" s="319"/>
      <c r="J98" s="320">
        <f t="shared" si="11"/>
        <v>8537.1</v>
      </c>
      <c r="K98" s="320"/>
      <c r="L98" s="320"/>
      <c r="M98" s="321">
        <v>226.43</v>
      </c>
      <c r="N98" s="321">
        <v>150.94999999999999</v>
      </c>
      <c r="O98" s="322">
        <v>760</v>
      </c>
      <c r="P98" s="322">
        <v>853.71</v>
      </c>
      <c r="Q98" s="322">
        <v>200</v>
      </c>
      <c r="R98" s="323"/>
      <c r="S98" s="319"/>
      <c r="T98" s="324">
        <f t="shared" si="12"/>
        <v>2191.09</v>
      </c>
      <c r="U98" s="325">
        <f t="shared" si="13"/>
        <v>6346.01</v>
      </c>
      <c r="V98" s="326"/>
      <c r="W98" s="327">
        <v>17074.2</v>
      </c>
      <c r="X98" s="328">
        <f t="shared" si="14"/>
        <v>8537.1</v>
      </c>
      <c r="Y98" s="329">
        <v>731.7</v>
      </c>
      <c r="Z98" s="329">
        <v>1.52</v>
      </c>
      <c r="AA98" s="328">
        <f t="shared" si="15"/>
        <v>91.462500000000006</v>
      </c>
    </row>
    <row r="99" spans="1:34" s="330" customFormat="1" ht="17.25" customHeight="1">
      <c r="A99" s="313">
        <v>82</v>
      </c>
      <c r="B99" s="337" t="s">
        <v>280</v>
      </c>
      <c r="C99" s="315" t="s">
        <v>179</v>
      </c>
      <c r="D99" s="398" t="s">
        <v>281</v>
      </c>
      <c r="E99" s="318">
        <v>731.7</v>
      </c>
      <c r="F99" s="318">
        <v>8048.7</v>
      </c>
      <c r="G99" s="319"/>
      <c r="H99" s="319"/>
      <c r="I99" s="319"/>
      <c r="J99" s="320">
        <f t="shared" si="11"/>
        <v>8048.7</v>
      </c>
      <c r="K99" s="320"/>
      <c r="L99" s="320"/>
      <c r="M99" s="321"/>
      <c r="N99" s="321"/>
      <c r="O99" s="322">
        <v>760</v>
      </c>
      <c r="P99" s="332"/>
      <c r="Q99" s="322">
        <v>200</v>
      </c>
      <c r="R99" s="323"/>
      <c r="S99" s="319">
        <v>1400</v>
      </c>
      <c r="T99" s="324">
        <f t="shared" si="12"/>
        <v>2360</v>
      </c>
      <c r="U99" s="325">
        <f t="shared" si="13"/>
        <v>5688.7</v>
      </c>
      <c r="V99" s="326" t="s">
        <v>25</v>
      </c>
      <c r="W99" s="327">
        <v>16097.4</v>
      </c>
      <c r="X99" s="328">
        <f t="shared" si="14"/>
        <v>8048.7</v>
      </c>
      <c r="Y99" s="329">
        <v>731.7</v>
      </c>
      <c r="Z99" s="329">
        <v>1.52</v>
      </c>
      <c r="AA99" s="328">
        <f t="shared" si="15"/>
        <v>91.462500000000006</v>
      </c>
      <c r="AH99" s="330" t="s">
        <v>68</v>
      </c>
    </row>
    <row r="100" spans="1:34" s="330" customFormat="1" ht="17.25" customHeight="1">
      <c r="A100" s="313">
        <v>83</v>
      </c>
      <c r="B100" s="395" t="s">
        <v>282</v>
      </c>
      <c r="C100" s="315" t="s">
        <v>179</v>
      </c>
      <c r="D100" s="398" t="s">
        <v>283</v>
      </c>
      <c r="E100" s="318">
        <v>731.7</v>
      </c>
      <c r="F100" s="318">
        <v>8048.7</v>
      </c>
      <c r="G100" s="319"/>
      <c r="H100" s="319"/>
      <c r="I100" s="319"/>
      <c r="J100" s="320">
        <f t="shared" si="11"/>
        <v>8048.7</v>
      </c>
      <c r="K100" s="320"/>
      <c r="L100" s="320"/>
      <c r="M100" s="321"/>
      <c r="N100" s="321"/>
      <c r="O100" s="322">
        <v>760</v>
      </c>
      <c r="P100" s="322">
        <v>804.87</v>
      </c>
      <c r="Q100" s="399" t="s">
        <v>284</v>
      </c>
      <c r="R100" s="323"/>
      <c r="S100" s="319">
        <v>700</v>
      </c>
      <c r="T100" s="324">
        <f>K100+L100+M100+N100+O100+P100+R100+S100</f>
        <v>2264.87</v>
      </c>
      <c r="U100" s="325">
        <f t="shared" si="13"/>
        <v>5783.83</v>
      </c>
      <c r="V100" s="326" t="s">
        <v>25</v>
      </c>
      <c r="W100" s="327">
        <v>16097.4</v>
      </c>
      <c r="X100" s="328">
        <f t="shared" si="14"/>
        <v>8048.7</v>
      </c>
      <c r="Y100" s="329">
        <v>731.7</v>
      </c>
      <c r="Z100" s="329">
        <v>1.52</v>
      </c>
      <c r="AA100" s="328">
        <f t="shared" si="15"/>
        <v>91.462500000000006</v>
      </c>
    </row>
    <row r="101" spans="1:34" s="330" customFormat="1" ht="17.25" customHeight="1">
      <c r="A101" s="313">
        <v>84</v>
      </c>
      <c r="B101" s="334" t="s">
        <v>285</v>
      </c>
      <c r="C101" s="315" t="s">
        <v>179</v>
      </c>
      <c r="D101" s="316" t="s">
        <v>286</v>
      </c>
      <c r="E101" s="317">
        <v>731.7</v>
      </c>
      <c r="F101" s="318">
        <v>8048.7</v>
      </c>
      <c r="G101" s="319"/>
      <c r="H101" s="319"/>
      <c r="I101" s="319"/>
      <c r="J101" s="320">
        <f t="shared" si="11"/>
        <v>8048.7</v>
      </c>
      <c r="K101" s="320"/>
      <c r="L101" s="320"/>
      <c r="M101" s="321"/>
      <c r="N101" s="321"/>
      <c r="O101" s="322">
        <v>1200</v>
      </c>
      <c r="P101" s="322">
        <v>804.87</v>
      </c>
      <c r="Q101" s="322">
        <v>200</v>
      </c>
      <c r="R101" s="323"/>
      <c r="S101" s="319"/>
      <c r="T101" s="324">
        <f>K101+L101+M101+N101+O101+P101+Q101+R101+S101</f>
        <v>2204.87</v>
      </c>
      <c r="U101" s="325">
        <f t="shared" si="13"/>
        <v>5843.83</v>
      </c>
      <c r="V101" s="326" t="s">
        <v>25</v>
      </c>
      <c r="W101" s="327">
        <v>16097.4</v>
      </c>
      <c r="X101" s="328">
        <f t="shared" si="14"/>
        <v>8048.7</v>
      </c>
      <c r="Y101" s="329">
        <v>731.7</v>
      </c>
      <c r="Z101" s="329">
        <v>1.52</v>
      </c>
      <c r="AA101" s="328">
        <f t="shared" si="15"/>
        <v>91.462500000000006</v>
      </c>
    </row>
    <row r="102" spans="1:34" s="330" customFormat="1" ht="17.25" customHeight="1">
      <c r="A102" s="313">
        <v>85</v>
      </c>
      <c r="B102" s="334" t="s">
        <v>287</v>
      </c>
      <c r="C102" s="315" t="s">
        <v>179</v>
      </c>
      <c r="D102" s="337" t="s">
        <v>288</v>
      </c>
      <c r="E102" s="317">
        <v>731.7</v>
      </c>
      <c r="F102" s="318">
        <v>8048.7</v>
      </c>
      <c r="G102" s="319"/>
      <c r="H102" s="319"/>
      <c r="I102" s="319"/>
      <c r="J102" s="320">
        <f t="shared" si="11"/>
        <v>8048.7</v>
      </c>
      <c r="K102" s="320"/>
      <c r="L102" s="320"/>
      <c r="M102" s="321"/>
      <c r="N102" s="321"/>
      <c r="O102" s="322">
        <v>760</v>
      </c>
      <c r="P102" s="322">
        <v>804.87</v>
      </c>
      <c r="Q102" s="322">
        <v>200</v>
      </c>
      <c r="R102" s="323"/>
      <c r="S102" s="319"/>
      <c r="T102" s="324">
        <f>K102+L102+M102+N102+O102+P102+Q102+R102+S102</f>
        <v>1764.87</v>
      </c>
      <c r="U102" s="325">
        <f t="shared" si="13"/>
        <v>6283.83</v>
      </c>
      <c r="V102" s="326" t="s">
        <v>25</v>
      </c>
      <c r="W102" s="327">
        <v>16097.4</v>
      </c>
      <c r="X102" s="328">
        <f t="shared" si="14"/>
        <v>8048.7</v>
      </c>
      <c r="Y102" s="329">
        <v>925.9</v>
      </c>
      <c r="Z102" s="329">
        <f>Y102/8/60</f>
        <v>1.9289583333333333</v>
      </c>
      <c r="AA102" s="328">
        <f t="shared" si="15"/>
        <v>115.7375</v>
      </c>
    </row>
    <row r="103" spans="1:34" s="330" customFormat="1" ht="17.25" customHeight="1">
      <c r="A103" s="313">
        <v>86</v>
      </c>
      <c r="B103" s="334" t="s">
        <v>289</v>
      </c>
      <c r="C103" s="315" t="s">
        <v>179</v>
      </c>
      <c r="D103" s="337" t="s">
        <v>288</v>
      </c>
      <c r="E103" s="317">
        <v>731.7</v>
      </c>
      <c r="F103" s="318">
        <v>8048.7</v>
      </c>
      <c r="G103" s="319"/>
      <c r="H103" s="395"/>
      <c r="I103" s="319"/>
      <c r="J103" s="320">
        <f t="shared" si="11"/>
        <v>8048.7</v>
      </c>
      <c r="K103" s="320"/>
      <c r="L103" s="320"/>
      <c r="M103" s="321"/>
      <c r="N103" s="321"/>
      <c r="O103" s="322">
        <v>760</v>
      </c>
      <c r="P103" s="332"/>
      <c r="Q103" s="322">
        <v>200</v>
      </c>
      <c r="R103" s="323"/>
      <c r="S103" s="319"/>
      <c r="T103" s="324">
        <f>K103+L103+M103+N103+O103+P103+Q103+R103+S103</f>
        <v>960</v>
      </c>
      <c r="U103" s="325">
        <f t="shared" si="13"/>
        <v>7088.7</v>
      </c>
      <c r="V103" s="326" t="s">
        <v>25</v>
      </c>
      <c r="W103" s="327">
        <v>16097.4</v>
      </c>
      <c r="X103" s="328">
        <f t="shared" si="14"/>
        <v>8048.7</v>
      </c>
      <c r="Y103" s="329">
        <v>731.7</v>
      </c>
      <c r="Z103" s="329">
        <v>1.52</v>
      </c>
      <c r="AA103" s="328">
        <f t="shared" si="15"/>
        <v>91.462500000000006</v>
      </c>
    </row>
    <row r="104" spans="1:34" s="330" customFormat="1" ht="17.25" customHeight="1" thickBot="1">
      <c r="A104" s="313">
        <v>87</v>
      </c>
      <c r="B104" s="340" t="s">
        <v>290</v>
      </c>
      <c r="C104" s="341" t="s">
        <v>179</v>
      </c>
      <c r="D104" s="400" t="s">
        <v>291</v>
      </c>
      <c r="E104" s="343">
        <v>731.7</v>
      </c>
      <c r="F104" s="343">
        <v>8048.7</v>
      </c>
      <c r="G104" s="344"/>
      <c r="H104" s="344"/>
      <c r="I104" s="344"/>
      <c r="J104" s="320">
        <f t="shared" si="11"/>
        <v>8048.7</v>
      </c>
      <c r="K104" s="345"/>
      <c r="L104" s="345"/>
      <c r="M104" s="401"/>
      <c r="N104" s="401"/>
      <c r="O104" s="346">
        <v>760</v>
      </c>
      <c r="P104" s="332"/>
      <c r="Q104" s="322">
        <v>200</v>
      </c>
      <c r="R104" s="347"/>
      <c r="S104" s="344"/>
      <c r="T104" s="324">
        <f>K104+L104+M104+N104+O104+P104+Q104+R104+S104</f>
        <v>960</v>
      </c>
      <c r="U104" s="325">
        <f t="shared" si="13"/>
        <v>7088.7</v>
      </c>
      <c r="V104" s="326" t="s">
        <v>25</v>
      </c>
      <c r="W104" s="327">
        <v>16097.4</v>
      </c>
      <c r="X104" s="328">
        <f t="shared" si="14"/>
        <v>8048.7</v>
      </c>
      <c r="Y104" s="329">
        <v>731.7</v>
      </c>
      <c r="Z104" s="329">
        <v>1.52</v>
      </c>
      <c r="AA104" s="328">
        <f t="shared" si="15"/>
        <v>91.462500000000006</v>
      </c>
    </row>
    <row r="105" spans="1:34" s="391" customFormat="1" ht="17.25" customHeight="1" thickBot="1">
      <c r="A105" s="348" t="s">
        <v>292</v>
      </c>
      <c r="B105" s="349"/>
      <c r="C105" s="350"/>
      <c r="D105" s="351"/>
      <c r="E105" s="352"/>
      <c r="F105" s="353"/>
      <c r="G105" s="402"/>
      <c r="H105" s="402"/>
      <c r="I105" s="402"/>
      <c r="J105" s="402">
        <f>SUM(J59:J104)</f>
        <v>399699.30000000016</v>
      </c>
      <c r="K105" s="402">
        <f t="shared" ref="K105:U105" si="16">SUM(K59:K104)</f>
        <v>961.15</v>
      </c>
      <c r="L105" s="402">
        <f t="shared" si="16"/>
        <v>868.13</v>
      </c>
      <c r="M105" s="402">
        <f t="shared" si="16"/>
        <v>2950.38</v>
      </c>
      <c r="N105" s="402">
        <f t="shared" si="16"/>
        <v>1609.6299999999999</v>
      </c>
      <c r="O105" s="402">
        <f t="shared" si="16"/>
        <v>37920</v>
      </c>
      <c r="P105" s="402">
        <f t="shared" si="16"/>
        <v>20921.070000000003</v>
      </c>
      <c r="Q105" s="402">
        <f t="shared" si="16"/>
        <v>9200</v>
      </c>
      <c r="R105" s="402">
        <f t="shared" si="16"/>
        <v>1000</v>
      </c>
      <c r="S105" s="402">
        <f t="shared" si="16"/>
        <v>10790</v>
      </c>
      <c r="T105" s="402">
        <f t="shared" si="16"/>
        <v>86220.360000000015</v>
      </c>
      <c r="U105" s="402">
        <f t="shared" si="16"/>
        <v>313478.94</v>
      </c>
      <c r="V105" s="355"/>
      <c r="W105" s="390"/>
      <c r="Y105" s="392"/>
      <c r="Z105" s="392"/>
      <c r="AA105" s="328">
        <f t="shared" si="15"/>
        <v>0</v>
      </c>
    </row>
    <row r="106" spans="1:34" s="330" customFormat="1" ht="17.25" customHeight="1">
      <c r="A106" s="313"/>
      <c r="B106" s="314"/>
      <c r="C106" s="315"/>
      <c r="D106" s="337"/>
      <c r="E106" s="403"/>
      <c r="F106" s="318"/>
      <c r="G106" s="319"/>
      <c r="H106" s="319"/>
      <c r="I106" s="319"/>
      <c r="J106" s="320"/>
      <c r="K106" s="320"/>
      <c r="L106" s="320"/>
      <c r="M106" s="321"/>
      <c r="N106" s="321"/>
      <c r="O106" s="322"/>
      <c r="P106" s="322"/>
      <c r="Q106" s="322"/>
      <c r="R106" s="323"/>
      <c r="S106" s="319"/>
      <c r="T106" s="324"/>
      <c r="U106" s="325"/>
      <c r="V106" s="326"/>
      <c r="W106" s="327"/>
      <c r="X106" s="328"/>
      <c r="Y106" s="329"/>
      <c r="Z106" s="329"/>
      <c r="AA106" s="328">
        <f t="shared" si="15"/>
        <v>0</v>
      </c>
    </row>
    <row r="107" spans="1:34" s="330" customFormat="1" ht="17.25" customHeight="1">
      <c r="A107" s="393" t="s">
        <v>293</v>
      </c>
      <c r="B107" s="394"/>
      <c r="C107" s="315"/>
      <c r="D107" s="337"/>
      <c r="E107" s="317"/>
      <c r="F107" s="318"/>
      <c r="G107" s="319"/>
      <c r="H107" s="319"/>
      <c r="I107" s="319"/>
      <c r="J107" s="320"/>
      <c r="K107" s="320"/>
      <c r="L107" s="320"/>
      <c r="M107" s="321"/>
      <c r="N107" s="321"/>
      <c r="O107" s="322"/>
      <c r="P107" s="322"/>
      <c r="Q107" s="322"/>
      <c r="R107" s="323"/>
      <c r="S107" s="319"/>
      <c r="T107" s="324"/>
      <c r="U107" s="325"/>
      <c r="V107" s="326"/>
      <c r="W107" s="327"/>
      <c r="X107" s="328"/>
      <c r="Y107" s="329"/>
      <c r="Z107" s="329"/>
      <c r="AA107" s="328">
        <f t="shared" si="15"/>
        <v>0</v>
      </c>
    </row>
    <row r="108" spans="1:34" s="330" customFormat="1" ht="17.25" customHeight="1">
      <c r="A108" s="313">
        <v>88</v>
      </c>
      <c r="B108" s="404" t="s">
        <v>294</v>
      </c>
      <c r="C108" s="315" t="s">
        <v>179</v>
      </c>
      <c r="D108" s="316" t="s">
        <v>295</v>
      </c>
      <c r="E108" s="317">
        <v>731.7</v>
      </c>
      <c r="F108" s="318">
        <v>8048.7</v>
      </c>
      <c r="G108" s="319"/>
      <c r="H108" s="319"/>
      <c r="I108" s="319"/>
      <c r="J108" s="320">
        <f t="shared" ref="J108:J110" si="17">F108-G108-H108</f>
        <v>8048.7</v>
      </c>
      <c r="K108" s="320"/>
      <c r="L108" s="320"/>
      <c r="M108" s="321"/>
      <c r="N108" s="321"/>
      <c r="O108" s="322">
        <v>760</v>
      </c>
      <c r="P108" s="322">
        <v>804.87</v>
      </c>
      <c r="Q108" s="322">
        <v>200</v>
      </c>
      <c r="R108" s="323"/>
      <c r="S108" s="319"/>
      <c r="T108" s="324">
        <f t="shared" ref="T108:T110" si="18">K108+L108+M108+N108+O108+P108+Q108+R108+S108</f>
        <v>1764.87</v>
      </c>
      <c r="U108" s="325">
        <f t="shared" ref="U108:U110" si="19">J108-T108</f>
        <v>6283.83</v>
      </c>
      <c r="V108" s="326" t="s">
        <v>25</v>
      </c>
      <c r="W108" s="327">
        <v>16097.4</v>
      </c>
      <c r="X108" s="328">
        <f>W108/2</f>
        <v>8048.7</v>
      </c>
      <c r="Y108" s="329">
        <v>731.7</v>
      </c>
      <c r="Z108" s="329">
        <v>1.52</v>
      </c>
      <c r="AA108" s="328">
        <f t="shared" si="15"/>
        <v>91.462500000000006</v>
      </c>
    </row>
    <row r="109" spans="1:34" s="330" customFormat="1" ht="17.25" customHeight="1">
      <c r="A109" s="313">
        <v>89</v>
      </c>
      <c r="B109" s="314" t="s">
        <v>296</v>
      </c>
      <c r="C109" s="315" t="s">
        <v>179</v>
      </c>
      <c r="D109" s="337" t="s">
        <v>297</v>
      </c>
      <c r="E109" s="317">
        <v>731.7</v>
      </c>
      <c r="F109" s="318">
        <v>8048.7</v>
      </c>
      <c r="G109" s="319"/>
      <c r="H109" s="319"/>
      <c r="I109" s="319"/>
      <c r="J109" s="320">
        <f t="shared" si="17"/>
        <v>8048.7</v>
      </c>
      <c r="K109" s="320"/>
      <c r="L109" s="320"/>
      <c r="M109" s="321"/>
      <c r="N109" s="321"/>
      <c r="O109" s="322">
        <v>760</v>
      </c>
      <c r="P109" s="322">
        <v>804.87</v>
      </c>
      <c r="Q109" s="399" t="s">
        <v>284</v>
      </c>
      <c r="R109" s="323"/>
      <c r="S109" s="319"/>
      <c r="T109" s="324">
        <f>K109+L109+M109+N109+O109+P109+R109+S109</f>
        <v>1564.87</v>
      </c>
      <c r="U109" s="325">
        <f t="shared" si="19"/>
        <v>6483.83</v>
      </c>
      <c r="V109" s="326" t="s">
        <v>25</v>
      </c>
      <c r="W109" s="327">
        <v>16097.4</v>
      </c>
      <c r="X109" s="328">
        <f>W109/2</f>
        <v>8048.7</v>
      </c>
      <c r="Y109" s="329">
        <v>731.7</v>
      </c>
      <c r="Z109" s="329">
        <v>1.52</v>
      </c>
      <c r="AA109" s="328">
        <f t="shared" si="15"/>
        <v>91.462500000000006</v>
      </c>
    </row>
    <row r="110" spans="1:34" s="330" customFormat="1" ht="17.25" customHeight="1" thickBot="1">
      <c r="A110" s="313">
        <v>90</v>
      </c>
      <c r="B110" s="405" t="s">
        <v>298</v>
      </c>
      <c r="C110" s="341" t="s">
        <v>179</v>
      </c>
      <c r="D110" s="342" t="s">
        <v>297</v>
      </c>
      <c r="E110" s="406">
        <v>1045.7</v>
      </c>
      <c r="F110" s="343">
        <v>11502.7</v>
      </c>
      <c r="G110" s="344"/>
      <c r="H110" s="344"/>
      <c r="I110" s="344"/>
      <c r="J110" s="320">
        <f t="shared" si="17"/>
        <v>11502.7</v>
      </c>
      <c r="K110" s="331">
        <v>1071.6199999999999</v>
      </c>
      <c r="L110" s="345"/>
      <c r="M110" s="401"/>
      <c r="N110" s="401"/>
      <c r="O110" s="346">
        <v>760</v>
      </c>
      <c r="P110" s="322">
        <v>1150.27</v>
      </c>
      <c r="Q110" s="322">
        <v>200</v>
      </c>
      <c r="R110" s="347"/>
      <c r="S110" s="344"/>
      <c r="T110" s="324">
        <f t="shared" si="18"/>
        <v>3181.89</v>
      </c>
      <c r="U110" s="325">
        <f t="shared" si="19"/>
        <v>8320.8100000000013</v>
      </c>
      <c r="V110" s="326"/>
      <c r="W110" s="327">
        <v>23005.4</v>
      </c>
      <c r="X110" s="328">
        <f>W110/2</f>
        <v>11502.7</v>
      </c>
      <c r="Y110" s="329">
        <v>1045.7</v>
      </c>
      <c r="Z110" s="329">
        <v>2.1800000000000002</v>
      </c>
      <c r="AA110" s="328">
        <f t="shared" si="15"/>
        <v>130.71250000000001</v>
      </c>
      <c r="AB110" s="328">
        <f>Y110/2</f>
        <v>522.85</v>
      </c>
      <c r="AC110" s="328">
        <f>AB110/8</f>
        <v>65.356250000000003</v>
      </c>
    </row>
    <row r="111" spans="1:34" s="330" customFormat="1" ht="17.25" customHeight="1" thickBot="1">
      <c r="A111" s="348" t="s">
        <v>299</v>
      </c>
      <c r="B111" s="349"/>
      <c r="C111" s="350"/>
      <c r="D111" s="351"/>
      <c r="E111" s="352"/>
      <c r="F111" s="353"/>
      <c r="G111" s="402"/>
      <c r="H111" s="402"/>
      <c r="I111" s="402"/>
      <c r="J111" s="402">
        <f>SUM(J108:J110)</f>
        <v>27600.1</v>
      </c>
      <c r="K111" s="402">
        <f t="shared" ref="K111:U111" si="20">SUM(K108:K110)</f>
        <v>1071.6199999999999</v>
      </c>
      <c r="L111" s="402">
        <f t="shared" si="20"/>
        <v>0</v>
      </c>
      <c r="M111" s="402">
        <f t="shared" si="20"/>
        <v>0</v>
      </c>
      <c r="N111" s="402">
        <f t="shared" si="20"/>
        <v>0</v>
      </c>
      <c r="O111" s="402">
        <f t="shared" si="20"/>
        <v>2280</v>
      </c>
      <c r="P111" s="402">
        <f t="shared" si="20"/>
        <v>2760.01</v>
      </c>
      <c r="Q111" s="402">
        <f t="shared" si="20"/>
        <v>400</v>
      </c>
      <c r="R111" s="402">
        <f t="shared" si="20"/>
        <v>0</v>
      </c>
      <c r="S111" s="402">
        <f t="shared" si="20"/>
        <v>0</v>
      </c>
      <c r="T111" s="402">
        <f t="shared" si="20"/>
        <v>6511.6299999999992</v>
      </c>
      <c r="U111" s="402">
        <f t="shared" si="20"/>
        <v>21088.47</v>
      </c>
      <c r="V111" s="407"/>
      <c r="W111" s="327"/>
      <c r="Y111" s="329"/>
      <c r="Z111" s="329"/>
      <c r="AA111" s="328">
        <f t="shared" si="15"/>
        <v>0</v>
      </c>
    </row>
    <row r="112" spans="1:34" s="330" customFormat="1" ht="17.25" customHeight="1">
      <c r="A112" s="313"/>
      <c r="B112" s="395"/>
      <c r="C112" s="315"/>
      <c r="D112" s="316"/>
      <c r="E112" s="318"/>
      <c r="F112" s="318"/>
      <c r="G112" s="319"/>
      <c r="H112" s="319"/>
      <c r="I112" s="319"/>
      <c r="J112" s="320">
        <f>F112-G112-H112</f>
        <v>0</v>
      </c>
      <c r="K112" s="320"/>
      <c r="L112" s="320"/>
      <c r="M112" s="321"/>
      <c r="N112" s="321"/>
      <c r="O112" s="322"/>
      <c r="P112" s="322"/>
      <c r="Q112" s="322"/>
      <c r="R112" s="323"/>
      <c r="S112" s="319"/>
      <c r="T112" s="324"/>
      <c r="U112" s="408"/>
      <c r="V112" s="326"/>
      <c r="W112" s="327"/>
      <c r="Y112" s="329"/>
      <c r="Z112" s="329"/>
      <c r="AA112" s="328">
        <f t="shared" si="15"/>
        <v>0</v>
      </c>
    </row>
    <row r="113" spans="1:30" s="330" customFormat="1" ht="17.25" customHeight="1">
      <c r="A113" s="393" t="s">
        <v>300</v>
      </c>
      <c r="B113" s="394"/>
      <c r="C113" s="315"/>
      <c r="D113" s="316"/>
      <c r="E113" s="318"/>
      <c r="F113" s="318"/>
      <c r="G113" s="319"/>
      <c r="H113" s="319"/>
      <c r="I113" s="319"/>
      <c r="J113" s="320"/>
      <c r="K113" s="320"/>
      <c r="L113" s="320"/>
      <c r="M113" s="321"/>
      <c r="N113" s="321"/>
      <c r="O113" s="322"/>
      <c r="P113" s="322"/>
      <c r="Q113" s="322"/>
      <c r="R113" s="323"/>
      <c r="S113" s="319"/>
      <c r="T113" s="324"/>
      <c r="U113" s="325"/>
      <c r="V113" s="326"/>
      <c r="W113" s="327"/>
      <c r="Y113" s="329"/>
      <c r="Z113" s="329"/>
      <c r="AA113" s="328">
        <f t="shared" si="15"/>
        <v>0</v>
      </c>
      <c r="AD113" s="330" t="s">
        <v>301</v>
      </c>
    </row>
    <row r="114" spans="1:30" s="330" customFormat="1" ht="17.25" customHeight="1">
      <c r="A114" s="313">
        <v>91</v>
      </c>
      <c r="B114" s="314" t="s">
        <v>302</v>
      </c>
      <c r="C114" s="315" t="s">
        <v>179</v>
      </c>
      <c r="D114" s="316" t="s">
        <v>303</v>
      </c>
      <c r="E114" s="318">
        <v>731.7</v>
      </c>
      <c r="F114" s="318">
        <v>8048.7</v>
      </c>
      <c r="G114" s="319"/>
      <c r="H114" s="319"/>
      <c r="I114" s="319"/>
      <c r="J114" s="320">
        <f t="shared" ref="J114:J116" si="21">F114-G114-H114</f>
        <v>8048.7</v>
      </c>
      <c r="K114" s="320"/>
      <c r="L114" s="320"/>
      <c r="M114" s="321"/>
      <c r="N114" s="321"/>
      <c r="O114" s="322">
        <v>760</v>
      </c>
      <c r="P114" s="322">
        <v>804.87</v>
      </c>
      <c r="Q114" s="322">
        <v>200</v>
      </c>
      <c r="R114" s="323"/>
      <c r="S114" s="319"/>
      <c r="T114" s="324">
        <f t="shared" ref="T114:T116" si="22">K114+L114+M114+N114+O114+P114+Q114+R114+S114</f>
        <v>1764.87</v>
      </c>
      <c r="U114" s="325">
        <f t="shared" ref="U114:U116" si="23">J114-T114</f>
        <v>6283.83</v>
      </c>
      <c r="V114" s="326" t="s">
        <v>25</v>
      </c>
      <c r="W114" s="327">
        <v>16097.4</v>
      </c>
      <c r="X114" s="328">
        <f>W114/2</f>
        <v>8048.7</v>
      </c>
      <c r="Y114" s="329">
        <v>731.7</v>
      </c>
      <c r="Z114" s="329">
        <v>1.52</v>
      </c>
      <c r="AA114" s="328">
        <f t="shared" si="15"/>
        <v>91.462500000000006</v>
      </c>
    </row>
    <row r="115" spans="1:30" s="330" customFormat="1" ht="17.25" customHeight="1">
      <c r="A115" s="313">
        <v>92</v>
      </c>
      <c r="B115" s="314" t="s">
        <v>304</v>
      </c>
      <c r="C115" s="315" t="s">
        <v>179</v>
      </c>
      <c r="D115" s="316" t="s">
        <v>303</v>
      </c>
      <c r="E115" s="318">
        <v>731.7</v>
      </c>
      <c r="F115" s="318">
        <v>8048.7</v>
      </c>
      <c r="G115" s="319"/>
      <c r="H115" s="319"/>
      <c r="I115" s="319"/>
      <c r="J115" s="320">
        <f t="shared" si="21"/>
        <v>8048.7</v>
      </c>
      <c r="K115" s="320"/>
      <c r="L115" s="320"/>
      <c r="M115" s="321"/>
      <c r="N115" s="321"/>
      <c r="O115" s="322">
        <v>760</v>
      </c>
      <c r="P115" s="322">
        <v>804.87</v>
      </c>
      <c r="Q115" s="322">
        <v>200</v>
      </c>
      <c r="R115" s="323"/>
      <c r="S115" s="319"/>
      <c r="T115" s="324">
        <f t="shared" si="22"/>
        <v>1764.87</v>
      </c>
      <c r="U115" s="325">
        <f t="shared" si="23"/>
        <v>6283.83</v>
      </c>
      <c r="V115" s="326" t="s">
        <v>25</v>
      </c>
      <c r="W115" s="327">
        <v>16097.4</v>
      </c>
      <c r="X115" s="328">
        <f>W115/2</f>
        <v>8048.7</v>
      </c>
      <c r="Y115" s="329">
        <v>731.7</v>
      </c>
      <c r="Z115" s="329">
        <v>1.52</v>
      </c>
      <c r="AA115" s="328">
        <f t="shared" si="15"/>
        <v>91.462500000000006</v>
      </c>
    </row>
    <row r="116" spans="1:30" s="330" customFormat="1" ht="17.25" customHeight="1">
      <c r="A116" s="313">
        <v>93</v>
      </c>
      <c r="B116" s="314" t="s">
        <v>305</v>
      </c>
      <c r="C116" s="315" t="s">
        <v>179</v>
      </c>
      <c r="D116" s="316" t="s">
        <v>306</v>
      </c>
      <c r="E116" s="318">
        <v>731.7</v>
      </c>
      <c r="F116" s="318">
        <v>8048.7</v>
      </c>
      <c r="G116" s="319"/>
      <c r="H116" s="319"/>
      <c r="I116" s="319"/>
      <c r="J116" s="320">
        <f t="shared" si="21"/>
        <v>8048.7</v>
      </c>
      <c r="K116" s="320"/>
      <c r="L116" s="320"/>
      <c r="M116" s="321">
        <v>241.46</v>
      </c>
      <c r="N116" s="321">
        <v>160.97</v>
      </c>
      <c r="O116" s="322">
        <v>760</v>
      </c>
      <c r="P116" s="332"/>
      <c r="Q116" s="322">
        <v>200</v>
      </c>
      <c r="R116" s="323"/>
      <c r="S116" s="319"/>
      <c r="T116" s="324">
        <f t="shared" si="22"/>
        <v>1362.43</v>
      </c>
      <c r="U116" s="325">
        <f t="shared" si="23"/>
        <v>6686.2699999999995</v>
      </c>
      <c r="V116" s="333"/>
      <c r="W116" s="327">
        <v>16097.4</v>
      </c>
      <c r="X116" s="328">
        <f>W116/2</f>
        <v>8048.7</v>
      </c>
      <c r="Y116" s="329">
        <v>731.7</v>
      </c>
      <c r="Z116" s="329">
        <v>1.52</v>
      </c>
      <c r="AA116" s="328">
        <f t="shared" si="15"/>
        <v>91.462500000000006</v>
      </c>
    </row>
    <row r="117" spans="1:30" s="311" customFormat="1" ht="17.25" customHeight="1" thickBot="1">
      <c r="A117" s="409" t="s">
        <v>307</v>
      </c>
      <c r="B117" s="410"/>
      <c r="C117" s="411"/>
      <c r="D117" s="412"/>
      <c r="E117" s="413"/>
      <c r="F117" s="414"/>
      <c r="G117" s="415">
        <f>SUM(G114:G115)</f>
        <v>0</v>
      </c>
      <c r="H117" s="415">
        <f>SUM(H114:H115)</f>
        <v>0</v>
      </c>
      <c r="I117" s="415"/>
      <c r="J117" s="415">
        <f>SUM(J114:J116)</f>
        <v>24146.1</v>
      </c>
      <c r="K117" s="415">
        <f t="shared" ref="K117:U117" si="24">SUM(K114:K116)</f>
        <v>0</v>
      </c>
      <c r="L117" s="415">
        <f t="shared" si="24"/>
        <v>0</v>
      </c>
      <c r="M117" s="415">
        <f t="shared" si="24"/>
        <v>241.46</v>
      </c>
      <c r="N117" s="415">
        <f t="shared" si="24"/>
        <v>160.97</v>
      </c>
      <c r="O117" s="415">
        <f t="shared" si="24"/>
        <v>2280</v>
      </c>
      <c r="P117" s="415">
        <f t="shared" si="24"/>
        <v>1609.74</v>
      </c>
      <c r="Q117" s="415">
        <f t="shared" si="24"/>
        <v>600</v>
      </c>
      <c r="R117" s="415">
        <f t="shared" si="24"/>
        <v>0</v>
      </c>
      <c r="S117" s="415">
        <f t="shared" si="24"/>
        <v>0</v>
      </c>
      <c r="T117" s="415">
        <f t="shared" si="24"/>
        <v>4892.17</v>
      </c>
      <c r="U117" s="415">
        <f t="shared" si="24"/>
        <v>19253.93</v>
      </c>
      <c r="V117" s="416"/>
      <c r="Y117" s="312"/>
      <c r="Z117" s="312"/>
      <c r="AA117" s="328">
        <f t="shared" si="15"/>
        <v>0</v>
      </c>
    </row>
    <row r="118" spans="1:30" s="311" customFormat="1" ht="17.25" customHeight="1">
      <c r="A118" s="417"/>
      <c r="B118" s="330"/>
      <c r="C118" s="4"/>
      <c r="D118" s="4"/>
      <c r="E118" s="418"/>
      <c r="F118" s="418"/>
      <c r="G118" s="419"/>
      <c r="H118" s="420"/>
      <c r="I118" s="420"/>
      <c r="J118" s="373"/>
      <c r="K118" s="373"/>
      <c r="L118" s="373"/>
      <c r="M118" s="418"/>
      <c r="N118" s="418"/>
      <c r="O118" s="421"/>
      <c r="P118" s="421"/>
      <c r="Q118" s="421"/>
      <c r="R118" s="369"/>
      <c r="S118" s="419"/>
      <c r="T118" s="422"/>
      <c r="U118" s="327"/>
      <c r="V118" s="423"/>
      <c r="Y118" s="312"/>
      <c r="Z118" s="312"/>
      <c r="AA118" s="328">
        <f t="shared" si="15"/>
        <v>0</v>
      </c>
    </row>
    <row r="119" spans="1:30" s="311" customFormat="1" ht="17.25" customHeight="1">
      <c r="A119" s="424" t="s">
        <v>308</v>
      </c>
      <c r="B119" s="395"/>
      <c r="C119" s="425"/>
      <c r="D119" s="425"/>
      <c r="E119" s="426"/>
      <c r="F119" s="426"/>
      <c r="G119" s="427"/>
      <c r="H119" s="427">
        <f>SUM(H37,H56,H105,H111,H117)</f>
        <v>0</v>
      </c>
      <c r="I119" s="427"/>
      <c r="J119" s="427">
        <f>SUM(J37,J56,J105,J111,J117)</f>
        <v>793281.50000000023</v>
      </c>
      <c r="K119" s="427">
        <f t="shared" ref="K119:U119" si="25">SUM(K37,K56,K105,K111,K117)</f>
        <v>5096.84</v>
      </c>
      <c r="L119" s="427">
        <f t="shared" si="25"/>
        <v>910.84</v>
      </c>
      <c r="M119" s="427">
        <f t="shared" si="25"/>
        <v>6073.59</v>
      </c>
      <c r="N119" s="427">
        <f t="shared" si="25"/>
        <v>3691.74</v>
      </c>
      <c r="O119" s="427">
        <f t="shared" si="25"/>
        <v>72100</v>
      </c>
      <c r="P119" s="427">
        <f t="shared" si="25"/>
        <v>46776.460000000006</v>
      </c>
      <c r="Q119" s="427">
        <f t="shared" si="25"/>
        <v>18400</v>
      </c>
      <c r="R119" s="427">
        <f t="shared" si="25"/>
        <v>2081</v>
      </c>
      <c r="S119" s="427">
        <f t="shared" si="25"/>
        <v>17890</v>
      </c>
      <c r="T119" s="427">
        <f t="shared" si="25"/>
        <v>173020.47000000003</v>
      </c>
      <c r="U119" s="427">
        <f t="shared" si="25"/>
        <v>620261.02999999991</v>
      </c>
      <c r="V119" s="428">
        <f>SUM(V19:V117)</f>
        <v>0</v>
      </c>
      <c r="Y119" s="312"/>
      <c r="Z119" s="312"/>
      <c r="AA119" s="328">
        <f t="shared" si="15"/>
        <v>0</v>
      </c>
    </row>
    <row r="120" spans="1:30" s="311" customFormat="1" ht="30.75" customHeight="1">
      <c r="A120" s="429"/>
      <c r="B120" s="430"/>
      <c r="C120" s="431"/>
      <c r="D120" s="431"/>
      <c r="E120" s="432"/>
      <c r="F120" s="431"/>
      <c r="G120" s="433"/>
      <c r="H120" s="434" t="s">
        <v>48</v>
      </c>
      <c r="I120" s="435"/>
      <c r="J120" s="435"/>
      <c r="K120" s="436"/>
      <c r="L120" s="437"/>
      <c r="M120" s="438" t="s">
        <v>309</v>
      </c>
      <c r="N120" s="439" t="s">
        <v>310</v>
      </c>
      <c r="O120" s="440" t="s">
        <v>311</v>
      </c>
      <c r="P120" s="440"/>
      <c r="Q120" s="440"/>
      <c r="R120" s="440"/>
      <c r="S120" s="440"/>
      <c r="T120" s="441"/>
      <c r="U120" s="442">
        <f>U119</f>
        <v>620261.02999999991</v>
      </c>
      <c r="V120" s="443"/>
      <c r="Y120" s="312"/>
      <c r="Z120" s="312"/>
    </row>
    <row r="121" spans="1:30" s="311" customFormat="1" ht="17.25" customHeight="1">
      <c r="A121" s="444" t="s">
        <v>312</v>
      </c>
      <c r="B121" s="330"/>
      <c r="C121" s="445"/>
      <c r="D121" s="445"/>
      <c r="E121" s="446"/>
      <c r="F121" s="445"/>
      <c r="G121" s="447"/>
      <c r="H121" s="448" t="s">
        <v>313</v>
      </c>
      <c r="I121" s="449" t="s">
        <v>314</v>
      </c>
      <c r="J121" s="449"/>
      <c r="K121" s="449"/>
      <c r="L121" s="450"/>
      <c r="M121" s="451">
        <f>J119</f>
        <v>793281.50000000023</v>
      </c>
      <c r="N121" s="452"/>
      <c r="O121" s="453"/>
      <c r="P121" s="453"/>
      <c r="Q121" s="453"/>
      <c r="R121" s="419"/>
      <c r="S121" s="454"/>
      <c r="T121" s="455"/>
      <c r="U121" s="456"/>
      <c r="V121" s="457"/>
      <c r="Y121" s="312"/>
      <c r="Z121" s="312"/>
    </row>
    <row r="122" spans="1:30" s="311" customFormat="1" ht="17.25" customHeight="1">
      <c r="A122" s="444"/>
      <c r="B122" s="458"/>
      <c r="C122" s="459"/>
      <c r="D122" s="459"/>
      <c r="E122" s="419"/>
      <c r="F122" s="459"/>
      <c r="G122" s="447"/>
      <c r="H122" s="448" t="s">
        <v>54</v>
      </c>
      <c r="I122" s="449" t="s">
        <v>315</v>
      </c>
      <c r="J122" s="449"/>
      <c r="K122" s="449"/>
      <c r="L122" s="450"/>
      <c r="M122" s="451"/>
      <c r="N122" s="452">
        <f>K119+L119+M119+N119</f>
        <v>15773.01</v>
      </c>
      <c r="O122" s="460" t="s">
        <v>316</v>
      </c>
      <c r="P122" s="460"/>
      <c r="Q122" s="460"/>
      <c r="R122" s="460"/>
      <c r="S122" s="460"/>
      <c r="T122" s="460"/>
      <c r="U122" s="460"/>
      <c r="V122" s="461"/>
      <c r="Y122" s="312"/>
      <c r="Z122" s="312"/>
    </row>
    <row r="123" spans="1:30" s="311" customFormat="1" ht="17.25" customHeight="1">
      <c r="A123" s="462" t="s">
        <v>317</v>
      </c>
      <c r="B123" s="463"/>
      <c r="C123" s="463"/>
      <c r="D123" s="463"/>
      <c r="E123" s="463"/>
      <c r="F123" s="463"/>
      <c r="G123" s="464"/>
      <c r="H123" s="448" t="s">
        <v>57</v>
      </c>
      <c r="I123" s="449" t="s">
        <v>63</v>
      </c>
      <c r="J123" s="449"/>
      <c r="K123" s="449"/>
      <c r="L123" s="450"/>
      <c r="M123" s="451"/>
      <c r="N123" s="465">
        <f>O119</f>
        <v>72100</v>
      </c>
      <c r="O123" s="466" t="s">
        <v>62</v>
      </c>
      <c r="P123" s="466"/>
      <c r="Q123" s="466"/>
      <c r="R123" s="466"/>
      <c r="S123" s="466"/>
      <c r="T123" s="466"/>
      <c r="U123" s="466"/>
      <c r="V123" s="467"/>
      <c r="Y123" s="312"/>
      <c r="Z123" s="312"/>
    </row>
    <row r="124" spans="1:30" s="311" customFormat="1" ht="17.25" customHeight="1">
      <c r="A124" s="468" t="s">
        <v>318</v>
      </c>
      <c r="B124" s="469"/>
      <c r="C124" s="469"/>
      <c r="D124" s="469"/>
      <c r="E124" s="469"/>
      <c r="F124" s="469"/>
      <c r="G124" s="470"/>
      <c r="H124" s="448" t="s">
        <v>57</v>
      </c>
      <c r="I124" s="449" t="s">
        <v>61</v>
      </c>
      <c r="J124" s="449"/>
      <c r="K124" s="449"/>
      <c r="L124" s="450"/>
      <c r="M124" s="451"/>
      <c r="N124" s="465">
        <f>R119</f>
        <v>2081</v>
      </c>
      <c r="O124" s="453"/>
      <c r="P124" s="453"/>
      <c r="Q124" s="453"/>
      <c r="R124" s="419"/>
      <c r="S124" s="459"/>
      <c r="T124" s="459"/>
      <c r="U124" s="471"/>
      <c r="V124" s="472"/>
      <c r="Y124" s="312"/>
      <c r="Z124" s="312"/>
    </row>
    <row r="125" spans="1:30" s="311" customFormat="1" ht="17.25" customHeight="1">
      <c r="A125" s="473"/>
      <c r="B125" s="474"/>
      <c r="C125" s="474"/>
      <c r="D125" s="474"/>
      <c r="E125" s="474"/>
      <c r="F125" s="474"/>
      <c r="G125" s="475"/>
      <c r="H125" s="476" t="s">
        <v>140</v>
      </c>
      <c r="I125" s="477" t="s">
        <v>141</v>
      </c>
      <c r="J125" s="478" t="s">
        <v>141</v>
      </c>
      <c r="K125" s="478"/>
      <c r="L125" s="479"/>
      <c r="M125" s="451"/>
      <c r="N125" s="465">
        <f>Q119</f>
        <v>18400</v>
      </c>
      <c r="O125" s="453"/>
      <c r="P125" s="453"/>
      <c r="Q125" s="453"/>
      <c r="R125" s="419"/>
      <c r="S125" s="459"/>
      <c r="T125" s="459"/>
      <c r="U125" s="471"/>
      <c r="V125" s="472"/>
      <c r="Y125" s="312"/>
      <c r="Z125" s="312"/>
    </row>
    <row r="126" spans="1:30" s="311" customFormat="1" ht="17.25" customHeight="1">
      <c r="A126" s="417"/>
      <c r="B126" s="459"/>
      <c r="E126" s="480"/>
      <c r="G126" s="447"/>
      <c r="H126" s="448" t="s">
        <v>57</v>
      </c>
      <c r="I126" s="449" t="s">
        <v>99</v>
      </c>
      <c r="J126" s="449"/>
      <c r="K126" s="449"/>
      <c r="L126" s="450"/>
      <c r="M126" s="451"/>
      <c r="N126" s="465">
        <f>S119</f>
        <v>17890</v>
      </c>
      <c r="O126" s="453"/>
      <c r="P126" s="453"/>
      <c r="Q126" s="453"/>
      <c r="R126" s="419"/>
      <c r="S126" s="459"/>
      <c r="T126" s="459"/>
      <c r="U126" s="471"/>
      <c r="V126" s="472"/>
      <c r="Y126" s="312"/>
      <c r="Z126" s="312"/>
    </row>
    <row r="127" spans="1:30" s="311" customFormat="1" ht="17.25" customHeight="1">
      <c r="A127" s="417" t="s">
        <v>319</v>
      </c>
      <c r="B127" s="481"/>
      <c r="E127" s="480"/>
      <c r="G127" s="447"/>
      <c r="H127" s="448" t="s">
        <v>142</v>
      </c>
      <c r="I127" s="482" t="s">
        <v>143</v>
      </c>
      <c r="J127" s="482"/>
      <c r="K127" s="482"/>
      <c r="L127" s="483"/>
      <c r="M127" s="451"/>
      <c r="N127" s="465">
        <f>P119</f>
        <v>46776.460000000006</v>
      </c>
      <c r="O127" s="453"/>
      <c r="P127" s="453"/>
      <c r="Q127" s="453"/>
      <c r="R127" s="419"/>
      <c r="S127" s="459"/>
      <c r="T127" s="459"/>
      <c r="U127" s="471"/>
      <c r="V127" s="472"/>
      <c r="Y127" s="312"/>
      <c r="Z127" s="312"/>
    </row>
    <row r="128" spans="1:30" s="311" customFormat="1" ht="17.25" customHeight="1">
      <c r="A128" s="417"/>
      <c r="B128" s="481"/>
      <c r="E128" s="480"/>
      <c r="G128" s="447"/>
      <c r="H128" s="448" t="s">
        <v>66</v>
      </c>
      <c r="I128" s="484"/>
      <c r="J128" s="4" t="s">
        <v>320</v>
      </c>
      <c r="K128" s="4"/>
      <c r="L128" s="4"/>
      <c r="M128" s="485"/>
      <c r="N128" s="465">
        <f>U120</f>
        <v>620261.02999999991</v>
      </c>
      <c r="O128" s="453"/>
      <c r="P128" s="453"/>
      <c r="Q128" s="453"/>
      <c r="R128" s="419"/>
      <c r="S128" s="459"/>
      <c r="T128" s="459"/>
      <c r="U128" s="471"/>
      <c r="V128" s="472"/>
      <c r="Y128" s="312"/>
      <c r="Z128" s="312"/>
    </row>
    <row r="129" spans="1:26" s="311" customFormat="1" ht="17.25" customHeight="1">
      <c r="A129" s="417"/>
      <c r="B129" s="459"/>
      <c r="C129" s="445"/>
      <c r="D129" s="445"/>
      <c r="E129" s="446"/>
      <c r="F129" s="445"/>
      <c r="G129" s="447"/>
      <c r="H129" s="486"/>
      <c r="I129" s="459"/>
      <c r="J129" s="330"/>
      <c r="K129" s="487"/>
      <c r="L129" s="487"/>
      <c r="M129" s="451"/>
      <c r="N129" s="452"/>
      <c r="O129" s="453"/>
      <c r="P129" s="453"/>
      <c r="Q129" s="453"/>
      <c r="R129" s="488"/>
      <c r="S129" s="489"/>
      <c r="T129" s="490"/>
      <c r="U129" s="491"/>
      <c r="V129" s="423"/>
      <c r="Y129" s="312"/>
      <c r="Z129" s="312"/>
    </row>
    <row r="130" spans="1:26" s="311" customFormat="1" ht="17.25" customHeight="1">
      <c r="A130" s="492" t="s">
        <v>321</v>
      </c>
      <c r="B130" s="493"/>
      <c r="C130" s="493"/>
      <c r="D130" s="493"/>
      <c r="E130" s="493"/>
      <c r="F130" s="493"/>
      <c r="G130" s="494"/>
      <c r="H130" s="495"/>
      <c r="I130" s="496"/>
      <c r="J130" s="496"/>
      <c r="K130" s="487"/>
      <c r="L130" s="487"/>
      <c r="M130" s="451"/>
      <c r="N130" s="452"/>
      <c r="O130" s="497" t="s">
        <v>322</v>
      </c>
      <c r="P130" s="497"/>
      <c r="Q130" s="497"/>
      <c r="R130" s="497"/>
      <c r="S130" s="497"/>
      <c r="T130" s="497"/>
      <c r="U130" s="497"/>
      <c r="V130" s="498"/>
      <c r="Y130" s="312"/>
      <c r="Z130" s="312"/>
    </row>
    <row r="131" spans="1:26" s="311" customFormat="1" ht="17.25" customHeight="1">
      <c r="A131" s="499" t="s">
        <v>323</v>
      </c>
      <c r="B131" s="500"/>
      <c r="C131" s="500"/>
      <c r="D131" s="500"/>
      <c r="E131" s="500"/>
      <c r="F131" s="500"/>
      <c r="G131" s="501"/>
      <c r="H131" s="495"/>
      <c r="I131" s="496"/>
      <c r="J131" s="496"/>
      <c r="K131" s="487"/>
      <c r="L131" s="487"/>
      <c r="M131" s="451"/>
      <c r="N131" s="451"/>
      <c r="O131" s="497"/>
      <c r="P131" s="497"/>
      <c r="Q131" s="497"/>
      <c r="R131" s="497"/>
      <c r="S131" s="497"/>
      <c r="T131" s="497"/>
      <c r="U131" s="497"/>
      <c r="V131" s="498"/>
      <c r="Y131" s="312"/>
      <c r="Z131" s="312"/>
    </row>
    <row r="132" spans="1:26" s="311" customFormat="1" ht="17.25" customHeight="1">
      <c r="A132" s="502"/>
      <c r="B132" s="330"/>
      <c r="E132" s="480"/>
      <c r="F132" s="503"/>
      <c r="G132" s="503"/>
      <c r="H132" s="495"/>
      <c r="I132" s="496"/>
      <c r="J132" s="496"/>
      <c r="K132" s="504"/>
      <c r="L132" s="504"/>
      <c r="M132" s="451"/>
      <c r="N132" s="451"/>
      <c r="O132" s="505"/>
      <c r="P132" s="505"/>
      <c r="Q132" s="505"/>
      <c r="R132" s="506"/>
      <c r="S132" s="506"/>
      <c r="T132" s="506"/>
      <c r="U132" s="506"/>
      <c r="V132" s="507"/>
      <c r="Y132" s="312"/>
      <c r="Z132" s="312"/>
    </row>
    <row r="133" spans="1:26" s="311" customFormat="1" ht="17.25" customHeight="1">
      <c r="A133" s="417" t="s">
        <v>324</v>
      </c>
      <c r="B133" s="471"/>
      <c r="C133" s="471"/>
      <c r="D133" s="471"/>
      <c r="E133" s="327"/>
      <c r="F133" s="508">
        <f>J119</f>
        <v>793281.50000000023</v>
      </c>
      <c r="G133" s="509"/>
      <c r="H133" s="496"/>
      <c r="I133" s="496"/>
      <c r="J133" s="496"/>
      <c r="K133" s="487"/>
      <c r="L133" s="487"/>
      <c r="M133" s="451"/>
      <c r="N133" s="451"/>
      <c r="O133" s="505"/>
      <c r="P133" s="505"/>
      <c r="Q133" s="505"/>
      <c r="R133" s="506"/>
      <c r="S133" s="506"/>
      <c r="T133" s="506"/>
      <c r="U133" s="506"/>
      <c r="V133" s="507"/>
      <c r="Y133" s="312"/>
      <c r="Z133" s="312"/>
    </row>
    <row r="134" spans="1:26" s="311" customFormat="1" ht="17.25" customHeight="1">
      <c r="A134" s="417"/>
      <c r="B134" s="459"/>
      <c r="C134" s="481"/>
      <c r="D134" s="481"/>
      <c r="E134" s="510"/>
      <c r="F134" s="459"/>
      <c r="G134" s="447"/>
      <c r="H134" s="496"/>
      <c r="I134" s="496"/>
      <c r="J134" s="496"/>
      <c r="K134" s="487"/>
      <c r="L134" s="487"/>
      <c r="M134" s="451"/>
      <c r="N134" s="452"/>
      <c r="O134" s="453"/>
      <c r="P134" s="453"/>
      <c r="Q134" s="453"/>
      <c r="R134" s="511"/>
      <c r="S134" s="512"/>
      <c r="T134" s="512"/>
      <c r="U134" s="512"/>
      <c r="V134" s="513"/>
      <c r="W134" s="514"/>
      <c r="X134" s="514"/>
      <c r="Y134" s="312"/>
      <c r="Z134" s="312"/>
    </row>
    <row r="135" spans="1:26" s="311" customFormat="1" ht="17.25" customHeight="1">
      <c r="A135" s="492" t="s">
        <v>75</v>
      </c>
      <c r="B135" s="493"/>
      <c r="C135" s="493"/>
      <c r="D135" s="493"/>
      <c r="E135" s="493"/>
      <c r="F135" s="493"/>
      <c r="G135" s="494"/>
      <c r="H135" s="496"/>
      <c r="I135" s="496"/>
      <c r="J135" s="496"/>
      <c r="K135" s="471"/>
      <c r="L135" s="471"/>
      <c r="M135" s="451"/>
      <c r="N135" s="452"/>
      <c r="O135" s="453"/>
      <c r="P135" s="453"/>
      <c r="Q135" s="453"/>
      <c r="R135" s="488"/>
      <c r="S135" s="515"/>
      <c r="T135" s="515"/>
      <c r="U135" s="515"/>
      <c r="V135" s="516"/>
      <c r="W135" s="517"/>
      <c r="X135" s="517"/>
      <c r="Y135" s="312"/>
      <c r="Z135" s="312"/>
    </row>
    <row r="136" spans="1:26" s="311" customFormat="1" ht="17.25" customHeight="1">
      <c r="A136" s="499" t="s">
        <v>78</v>
      </c>
      <c r="B136" s="500"/>
      <c r="C136" s="500"/>
      <c r="D136" s="500"/>
      <c r="E136" s="500"/>
      <c r="F136" s="500"/>
      <c r="G136" s="501"/>
      <c r="H136" s="496"/>
      <c r="I136" s="496"/>
      <c r="J136" s="496"/>
      <c r="K136" s="471"/>
      <c r="L136" s="471"/>
      <c r="M136" s="451"/>
      <c r="N136" s="452"/>
      <c r="O136" s="453"/>
      <c r="P136" s="453"/>
      <c r="Q136" s="453"/>
      <c r="R136" s="518" t="s">
        <v>325</v>
      </c>
      <c r="S136" s="518"/>
      <c r="T136" s="518"/>
      <c r="U136" s="518"/>
      <c r="V136" s="519"/>
      <c r="Y136" s="312"/>
      <c r="Z136" s="312"/>
    </row>
    <row r="137" spans="1:26" s="311" customFormat="1" ht="17.25" customHeight="1">
      <c r="A137" s="417"/>
      <c r="B137" s="520"/>
      <c r="C137" s="520"/>
      <c r="D137" s="521"/>
      <c r="E137" s="522"/>
      <c r="F137" s="379"/>
      <c r="G137" s="447"/>
      <c r="H137" s="496"/>
      <c r="I137" s="496"/>
      <c r="J137" s="496"/>
      <c r="K137" s="471"/>
      <c r="L137" s="471"/>
      <c r="M137" s="451"/>
      <c r="N137" s="452"/>
      <c r="O137" s="453"/>
      <c r="P137" s="453"/>
      <c r="Q137" s="453"/>
      <c r="R137" s="523" t="s">
        <v>326</v>
      </c>
      <c r="S137" s="523"/>
      <c r="T137" s="523"/>
      <c r="U137" s="523"/>
      <c r="V137" s="524" t="s">
        <v>327</v>
      </c>
      <c r="Y137" s="312"/>
      <c r="Z137" s="312"/>
    </row>
    <row r="138" spans="1:26" s="311" customFormat="1" ht="36.75" customHeight="1" thickBot="1">
      <c r="A138" s="525"/>
      <c r="B138" s="526"/>
      <c r="C138" s="526"/>
      <c r="D138" s="527"/>
      <c r="E138" s="528"/>
      <c r="F138" s="529"/>
      <c r="G138" s="530"/>
      <c r="H138" s="531"/>
      <c r="I138" s="531"/>
      <c r="J138" s="531"/>
      <c r="K138" s="532"/>
      <c r="L138" s="532"/>
      <c r="M138" s="533">
        <f>SUM(M121:M137)</f>
        <v>793281.50000000023</v>
      </c>
      <c r="N138" s="533">
        <f>SUM(N121:N137)</f>
        <v>793281.49999999988</v>
      </c>
      <c r="O138" s="534"/>
      <c r="P138" s="534"/>
      <c r="Q138" s="534"/>
      <c r="R138" s="535"/>
      <c r="S138" s="536"/>
      <c r="T138" s="537"/>
      <c r="U138" s="538"/>
      <c r="V138" s="539" t="s">
        <v>68</v>
      </c>
      <c r="Y138" s="312"/>
      <c r="Z138" s="312"/>
    </row>
    <row r="139" spans="1:26">
      <c r="A139" s="540"/>
      <c r="N139" s="542">
        <f>M138-N138</f>
        <v>0</v>
      </c>
      <c r="V139" s="246"/>
    </row>
    <row r="140" spans="1:26">
      <c r="N140" s="545"/>
      <c r="O140" s="546"/>
      <c r="P140" s="546"/>
      <c r="Q140" s="546"/>
    </row>
    <row r="141" spans="1:26">
      <c r="R141" s="548"/>
    </row>
    <row r="142" spans="1:26">
      <c r="K142" s="549"/>
      <c r="L142" s="549"/>
    </row>
    <row r="143" spans="1:26">
      <c r="N143" t="s">
        <v>68</v>
      </c>
      <c r="R143" s="550"/>
      <c r="S143" s="550"/>
      <c r="T143" s="550"/>
      <c r="U143" s="550"/>
      <c r="V143" s="550"/>
    </row>
    <row r="144" spans="1:26">
      <c r="R144" s="550"/>
      <c r="S144" s="550"/>
      <c r="T144" s="550"/>
      <c r="U144" s="550"/>
      <c r="V144" s="550"/>
    </row>
  </sheetData>
  <mergeCells count="55">
    <mergeCell ref="B137:C137"/>
    <mergeCell ref="R137:U137"/>
    <mergeCell ref="B138:C138"/>
    <mergeCell ref="R143:V144"/>
    <mergeCell ref="F133:G133"/>
    <mergeCell ref="S134:U134"/>
    <mergeCell ref="A135:G135"/>
    <mergeCell ref="S135:U135"/>
    <mergeCell ref="A136:G136"/>
    <mergeCell ref="R136:U136"/>
    <mergeCell ref="I126:L126"/>
    <mergeCell ref="I127:L127"/>
    <mergeCell ref="A130:G130"/>
    <mergeCell ref="O130:V131"/>
    <mergeCell ref="A131:G131"/>
    <mergeCell ref="F132:G132"/>
    <mergeCell ref="I122:L122"/>
    <mergeCell ref="O122:V122"/>
    <mergeCell ref="A123:G123"/>
    <mergeCell ref="I123:L123"/>
    <mergeCell ref="O123:V123"/>
    <mergeCell ref="A124:G124"/>
    <mergeCell ref="I124:L124"/>
    <mergeCell ref="A107:B107"/>
    <mergeCell ref="A113:B113"/>
    <mergeCell ref="H120:J120"/>
    <mergeCell ref="O120:S120"/>
    <mergeCell ref="U120:V120"/>
    <mergeCell ref="I121:L121"/>
    <mergeCell ref="T6:T9"/>
    <mergeCell ref="U6:U9"/>
    <mergeCell ref="B7:B8"/>
    <mergeCell ref="A11:B11"/>
    <mergeCell ref="A39:B39"/>
    <mergeCell ref="A58:B58"/>
    <mergeCell ref="I5:I8"/>
    <mergeCell ref="J5:J9"/>
    <mergeCell ref="K5:S5"/>
    <mergeCell ref="V5:V9"/>
    <mergeCell ref="K6:N8"/>
    <mergeCell ref="O6:O9"/>
    <mergeCell ref="P6:P8"/>
    <mergeCell ref="Q6:Q9"/>
    <mergeCell ref="R6:R9"/>
    <mergeCell ref="S6:S9"/>
    <mergeCell ref="A1:V1"/>
    <mergeCell ref="A2:V2"/>
    <mergeCell ref="A3:V3"/>
    <mergeCell ref="A5:A9"/>
    <mergeCell ref="C5:C9"/>
    <mergeCell ref="D5:D9"/>
    <mergeCell ref="E5:E9"/>
    <mergeCell ref="F5:F9"/>
    <mergeCell ref="G5:G9"/>
    <mergeCell ref="H5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5C5A-94FE-400F-BF50-9FD237779FE9}">
  <dimension ref="A1:AC71"/>
  <sheetViews>
    <sheetView topLeftCell="A17" workbookViewId="0">
      <selection activeCell="O36" sqref="O36"/>
    </sheetView>
  </sheetViews>
  <sheetFormatPr defaultRowHeight="15"/>
  <cols>
    <col min="1" max="1" width="3.85546875" customWidth="1"/>
    <col min="2" max="2" width="27.85546875" style="541" customWidth="1"/>
    <col min="3" max="3" width="14.85546875" customWidth="1"/>
    <col min="4" max="4" width="10.7109375" customWidth="1"/>
    <col min="5" max="5" width="11.28515625" customWidth="1"/>
    <col min="6" max="6" width="12.140625" customWidth="1"/>
    <col min="7" max="7" width="12.7109375" style="239" customWidth="1"/>
    <col min="8" max="8" width="13.28515625" style="240" customWidth="1"/>
    <col min="9" max="9" width="11.42578125" style="240" customWidth="1"/>
    <col min="10" max="10" width="16.28515625" style="241" customWidth="1"/>
    <col min="11" max="11" width="11" style="241" customWidth="1"/>
    <col min="12" max="13" width="13.7109375" bestFit="1" customWidth="1"/>
    <col min="14" max="14" width="13.140625" bestFit="1" customWidth="1"/>
    <col min="15" max="15" width="13" customWidth="1"/>
    <col min="16" max="16" width="14.140625" bestFit="1" customWidth="1"/>
    <col min="17" max="17" width="11.28515625" style="544" customWidth="1"/>
    <col min="18" max="18" width="13.7109375" style="239" customWidth="1"/>
    <col min="19" max="19" width="13" style="244" customWidth="1"/>
    <col min="20" max="20" width="14.42578125" style="245" customWidth="1"/>
    <col min="21" max="21" width="34.28515625" style="547" customWidth="1"/>
    <col min="22" max="23" width="11" customWidth="1"/>
    <col min="24" max="24" width="10.42578125" customWidth="1"/>
    <col min="25" max="25" width="10.5703125" style="4" customWidth="1"/>
  </cols>
  <sheetData>
    <row r="1" spans="1:29" ht="21" customHeight="1">
      <c r="A1" s="551" t="s">
        <v>1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3"/>
    </row>
    <row r="2" spans="1:29" ht="18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1"/>
    </row>
    <row r="3" spans="1:29" ht="16.5" customHeight="1">
      <c r="A3" s="492" t="s">
        <v>165</v>
      </c>
      <c r="B3" s="493"/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  <c r="T3" s="493"/>
      <c r="U3" s="554"/>
    </row>
    <row r="4" spans="1:29" ht="18" customHeight="1" thickBot="1">
      <c r="A4" s="555" t="s">
        <v>3</v>
      </c>
      <c r="B4" s="556"/>
      <c r="C4" s="529"/>
      <c r="D4" s="529"/>
      <c r="E4" s="529"/>
      <c r="F4" s="529"/>
      <c r="G4" s="557"/>
      <c r="H4" s="558"/>
      <c r="I4" s="558"/>
      <c r="J4" s="559"/>
      <c r="K4" s="559"/>
      <c r="L4" s="560"/>
      <c r="M4" s="560"/>
      <c r="N4" s="560"/>
      <c r="O4" s="560"/>
      <c r="P4" s="560"/>
      <c r="Q4" s="561"/>
      <c r="R4" s="557"/>
      <c r="S4" s="562"/>
      <c r="T4" s="563"/>
      <c r="U4" s="564"/>
    </row>
    <row r="5" spans="1:29" ht="21" customHeight="1">
      <c r="A5" s="565" t="s">
        <v>166</v>
      </c>
      <c r="B5" s="566" t="s">
        <v>176</v>
      </c>
      <c r="C5" s="567" t="s">
        <v>7</v>
      </c>
      <c r="D5" s="567" t="s">
        <v>167</v>
      </c>
      <c r="E5" s="567" t="s">
        <v>10</v>
      </c>
      <c r="F5" s="568" t="s">
        <v>168</v>
      </c>
      <c r="G5" s="252" t="s">
        <v>169</v>
      </c>
      <c r="H5" s="252" t="s">
        <v>170</v>
      </c>
      <c r="I5" s="569" t="s">
        <v>328</v>
      </c>
      <c r="J5" s="569" t="s">
        <v>13</v>
      </c>
      <c r="K5" s="570" t="s">
        <v>329</v>
      </c>
      <c r="L5" s="571"/>
      <c r="M5" s="571"/>
      <c r="N5" s="571"/>
      <c r="O5" s="571"/>
      <c r="P5" s="571"/>
      <c r="Q5" s="571"/>
      <c r="R5" s="572"/>
      <c r="S5" s="573"/>
      <c r="T5" s="574" t="s">
        <v>68</v>
      </c>
      <c r="U5" s="575" t="s">
        <v>21</v>
      </c>
      <c r="Z5" t="s">
        <v>68</v>
      </c>
    </row>
    <row r="6" spans="1:29" ht="21" customHeight="1">
      <c r="A6" s="576"/>
      <c r="B6" s="577"/>
      <c r="C6" s="578"/>
      <c r="D6" s="578"/>
      <c r="E6" s="578"/>
      <c r="F6" s="579"/>
      <c r="G6" s="262"/>
      <c r="H6" s="262"/>
      <c r="I6" s="580"/>
      <c r="J6" s="580"/>
      <c r="K6" s="581" t="s">
        <v>330</v>
      </c>
      <c r="L6" s="581" t="s">
        <v>331</v>
      </c>
      <c r="M6" s="581" t="s">
        <v>332</v>
      </c>
      <c r="N6" s="582" t="s">
        <v>15</v>
      </c>
      <c r="O6" s="582" t="s">
        <v>133</v>
      </c>
      <c r="P6" s="582" t="s">
        <v>137</v>
      </c>
      <c r="Q6" s="583" t="s">
        <v>14</v>
      </c>
      <c r="R6" s="584" t="s">
        <v>80</v>
      </c>
      <c r="S6" s="581" t="s">
        <v>175</v>
      </c>
      <c r="T6" s="582" t="s">
        <v>20</v>
      </c>
      <c r="U6" s="585"/>
    </row>
    <row r="7" spans="1:29" ht="21" customHeight="1">
      <c r="A7" s="576"/>
      <c r="B7" s="577"/>
      <c r="C7" s="578"/>
      <c r="D7" s="578"/>
      <c r="E7" s="578"/>
      <c r="F7" s="579"/>
      <c r="G7" s="262"/>
      <c r="H7" s="262"/>
      <c r="I7" s="580"/>
      <c r="J7" s="580"/>
      <c r="K7" s="586"/>
      <c r="L7" s="586"/>
      <c r="M7" s="586"/>
      <c r="N7" s="580"/>
      <c r="O7" s="580"/>
      <c r="P7" s="580"/>
      <c r="Q7" s="587"/>
      <c r="R7" s="578"/>
      <c r="S7" s="586"/>
      <c r="T7" s="580"/>
      <c r="U7" s="585"/>
      <c r="V7" s="588"/>
      <c r="W7" s="588"/>
      <c r="X7" s="588"/>
    </row>
    <row r="8" spans="1:29" ht="1.5" customHeight="1">
      <c r="A8" s="576"/>
      <c r="B8" s="577"/>
      <c r="C8" s="578"/>
      <c r="D8" s="578"/>
      <c r="E8" s="578"/>
      <c r="F8" s="579"/>
      <c r="G8" s="262"/>
      <c r="H8" s="262"/>
      <c r="I8" s="580"/>
      <c r="J8" s="580"/>
      <c r="K8" s="586"/>
      <c r="L8" s="586"/>
      <c r="M8" s="586"/>
      <c r="N8" s="580"/>
      <c r="O8" s="580"/>
      <c r="P8" s="589"/>
      <c r="Q8" s="587"/>
      <c r="R8" s="578"/>
      <c r="S8" s="586"/>
      <c r="T8" s="580"/>
      <c r="U8" s="585"/>
    </row>
    <row r="9" spans="1:29" ht="21" hidden="1" customHeight="1">
      <c r="A9" s="590"/>
      <c r="B9" s="591"/>
      <c r="C9" s="592"/>
      <c r="D9" s="592"/>
      <c r="E9" s="592"/>
      <c r="F9" s="593"/>
      <c r="G9" s="279"/>
      <c r="H9" s="279"/>
      <c r="I9" s="594"/>
      <c r="J9" s="594"/>
      <c r="K9" s="595"/>
      <c r="L9" s="595"/>
      <c r="M9" s="595"/>
      <c r="N9" s="594"/>
      <c r="O9" s="594"/>
      <c r="P9" s="306"/>
      <c r="Q9" s="596"/>
      <c r="R9" s="592"/>
      <c r="S9" s="595"/>
      <c r="T9" s="594"/>
      <c r="U9" s="597"/>
    </row>
    <row r="10" spans="1:29" s="379" customFormat="1" ht="18" customHeight="1">
      <c r="A10" s="313">
        <v>1</v>
      </c>
      <c r="B10" s="314" t="s">
        <v>333</v>
      </c>
      <c r="C10" s="315" t="s">
        <v>179</v>
      </c>
      <c r="D10" s="315" t="s">
        <v>334</v>
      </c>
      <c r="E10" s="598">
        <v>841.65</v>
      </c>
      <c r="F10" s="599">
        <v>9258.15</v>
      </c>
      <c r="G10" s="600"/>
      <c r="H10" s="601"/>
      <c r="I10" s="601"/>
      <c r="J10" s="602">
        <f>F10-G10-H10</f>
        <v>9258.15</v>
      </c>
      <c r="K10" s="603"/>
      <c r="L10" s="604"/>
      <c r="M10" s="604"/>
      <c r="N10" s="604">
        <v>760</v>
      </c>
      <c r="O10" s="604">
        <v>925.82</v>
      </c>
      <c r="P10" s="604">
        <v>200</v>
      </c>
      <c r="Q10" s="605"/>
      <c r="R10" s="606"/>
      <c r="S10" s="607">
        <f>K10+L10+M10+N10+O10+P10+Q10+R10</f>
        <v>1885.8200000000002</v>
      </c>
      <c r="T10" s="599">
        <f>J10-S10</f>
        <v>7372.33</v>
      </c>
      <c r="U10" s="608" t="s">
        <v>25</v>
      </c>
      <c r="V10" s="609">
        <v>18516.3</v>
      </c>
      <c r="W10" s="373">
        <v>9258.15</v>
      </c>
      <c r="X10" s="328">
        <v>841.65</v>
      </c>
      <c r="Y10" s="610">
        <v>1.75</v>
      </c>
      <c r="Z10" s="610">
        <f>X10/8</f>
        <v>105.20625</v>
      </c>
      <c r="AA10" s="610"/>
    </row>
    <row r="11" spans="1:29" s="379" customFormat="1" ht="18" customHeight="1">
      <c r="A11" s="313">
        <v>2</v>
      </c>
      <c r="B11" s="314" t="s">
        <v>335</v>
      </c>
      <c r="C11" s="315" t="s">
        <v>179</v>
      </c>
      <c r="D11" s="315" t="s">
        <v>334</v>
      </c>
      <c r="E11" s="611">
        <v>731.7</v>
      </c>
      <c r="F11" s="599">
        <v>8048.7</v>
      </c>
      <c r="G11" s="601"/>
      <c r="H11" s="601"/>
      <c r="I11" s="601"/>
      <c r="J11" s="602">
        <f t="shared" ref="J11:J44" si="0">F11-G11-H11</f>
        <v>8048.7</v>
      </c>
      <c r="K11" s="602"/>
      <c r="L11" s="604"/>
      <c r="M11" s="604"/>
      <c r="N11" s="604">
        <v>760</v>
      </c>
      <c r="O11" s="604">
        <v>804.87</v>
      </c>
      <c r="P11" s="604">
        <v>200</v>
      </c>
      <c r="Q11" s="605"/>
      <c r="R11" s="606"/>
      <c r="S11" s="607">
        <f t="shared" ref="S11:S44" si="1">K11+L11+M11+N11+O11+P11+Q11+R11</f>
        <v>1764.87</v>
      </c>
      <c r="T11" s="599">
        <f t="shared" ref="T11:T44" si="2">J11-S11</f>
        <v>6283.83</v>
      </c>
      <c r="U11" s="608" t="s">
        <v>25</v>
      </c>
      <c r="V11" s="327">
        <v>16097.4</v>
      </c>
      <c r="W11" s="612">
        <f>V11/2</f>
        <v>8048.7</v>
      </c>
      <c r="X11" s="373">
        <v>731.7</v>
      </c>
      <c r="Y11" s="328">
        <v>1.52</v>
      </c>
      <c r="Z11" s="610">
        <f t="shared" ref="Z11:Z44" si="3">X11/8</f>
        <v>91.462500000000006</v>
      </c>
    </row>
    <row r="12" spans="1:29" s="379" customFormat="1" ht="18" customHeight="1">
      <c r="A12" s="313">
        <v>3</v>
      </c>
      <c r="B12" s="314" t="s">
        <v>336</v>
      </c>
      <c r="C12" s="315" t="s">
        <v>179</v>
      </c>
      <c r="D12" s="315" t="s">
        <v>334</v>
      </c>
      <c r="E12" s="611">
        <v>731.7</v>
      </c>
      <c r="F12" s="599">
        <v>8048.7</v>
      </c>
      <c r="G12" s="600"/>
      <c r="H12" s="601"/>
      <c r="I12" s="601"/>
      <c r="J12" s="602">
        <f t="shared" si="0"/>
        <v>8048.7</v>
      </c>
      <c r="K12" s="602"/>
      <c r="L12" s="604"/>
      <c r="M12" s="604"/>
      <c r="N12" s="604">
        <v>760</v>
      </c>
      <c r="O12" s="604">
        <v>804.87</v>
      </c>
      <c r="P12" s="604">
        <v>200</v>
      </c>
      <c r="Q12" s="605"/>
      <c r="R12" s="606"/>
      <c r="S12" s="607">
        <f t="shared" si="1"/>
        <v>1764.87</v>
      </c>
      <c r="T12" s="599">
        <f t="shared" si="2"/>
        <v>6283.83</v>
      </c>
      <c r="U12" s="608" t="s">
        <v>25</v>
      </c>
      <c r="V12" s="327">
        <v>16097.4</v>
      </c>
      <c r="W12" s="609">
        <f t="shared" ref="W12:W43" si="4">V12/2</f>
        <v>8048.7</v>
      </c>
      <c r="X12" s="373">
        <v>731.7</v>
      </c>
      <c r="Y12" s="328">
        <v>1.52</v>
      </c>
      <c r="Z12" s="610">
        <f t="shared" si="3"/>
        <v>91.462500000000006</v>
      </c>
      <c r="AA12" s="610"/>
      <c r="AC12" s="610"/>
    </row>
    <row r="13" spans="1:29" s="379" customFormat="1" ht="18" customHeight="1">
      <c r="A13" s="313">
        <v>4</v>
      </c>
      <c r="B13" s="314" t="s">
        <v>337</v>
      </c>
      <c r="C13" s="315" t="s">
        <v>179</v>
      </c>
      <c r="D13" s="315" t="s">
        <v>334</v>
      </c>
      <c r="E13" s="611">
        <v>731.7</v>
      </c>
      <c r="F13" s="599">
        <v>8048.7</v>
      </c>
      <c r="G13" s="613"/>
      <c r="H13" s="601"/>
      <c r="I13" s="601"/>
      <c r="J13" s="602">
        <f t="shared" si="0"/>
        <v>8048.7</v>
      </c>
      <c r="K13" s="602"/>
      <c r="L13" s="604"/>
      <c r="M13" s="604"/>
      <c r="N13" s="604">
        <v>750</v>
      </c>
      <c r="O13" s="604">
        <v>804.87</v>
      </c>
      <c r="P13" s="604">
        <v>200</v>
      </c>
      <c r="Q13" s="605"/>
      <c r="R13" s="606"/>
      <c r="S13" s="607">
        <f t="shared" si="1"/>
        <v>1754.87</v>
      </c>
      <c r="T13" s="599">
        <f t="shared" si="2"/>
        <v>6293.83</v>
      </c>
      <c r="U13" s="608" t="s">
        <v>25</v>
      </c>
      <c r="V13" s="327">
        <v>16097.4</v>
      </c>
      <c r="W13" s="609">
        <f t="shared" si="4"/>
        <v>8048.7</v>
      </c>
      <c r="X13" s="373">
        <v>731.7</v>
      </c>
      <c r="Y13" s="328">
        <v>1.52</v>
      </c>
      <c r="Z13" s="610">
        <f t="shared" si="3"/>
        <v>91.462500000000006</v>
      </c>
    </row>
    <row r="14" spans="1:29" s="379" customFormat="1" ht="18" customHeight="1">
      <c r="A14" s="313">
        <v>5</v>
      </c>
      <c r="B14" s="314" t="s">
        <v>338</v>
      </c>
      <c r="C14" s="315" t="s">
        <v>179</v>
      </c>
      <c r="D14" s="315" t="s">
        <v>334</v>
      </c>
      <c r="E14" s="611">
        <v>731.7</v>
      </c>
      <c r="F14" s="599">
        <v>8048.7</v>
      </c>
      <c r="G14" s="600"/>
      <c r="H14" s="601"/>
      <c r="I14" s="614"/>
      <c r="J14" s="602">
        <f t="shared" si="0"/>
        <v>8048.7</v>
      </c>
      <c r="K14" s="602"/>
      <c r="L14" s="604"/>
      <c r="M14" s="604"/>
      <c r="N14" s="604">
        <v>760</v>
      </c>
      <c r="O14" s="615"/>
      <c r="P14" s="604">
        <v>200</v>
      </c>
      <c r="Q14" s="605"/>
      <c r="R14" s="606"/>
      <c r="S14" s="607">
        <f t="shared" si="1"/>
        <v>960</v>
      </c>
      <c r="T14" s="599">
        <f t="shared" si="2"/>
        <v>7088.7</v>
      </c>
      <c r="U14" s="608" t="s">
        <v>25</v>
      </c>
      <c r="V14" s="327">
        <v>16097.4</v>
      </c>
      <c r="W14" s="609">
        <f>V14/2</f>
        <v>8048.7</v>
      </c>
      <c r="X14" s="373">
        <v>731.7</v>
      </c>
      <c r="Y14" s="328">
        <v>1.52</v>
      </c>
      <c r="Z14" s="610">
        <f t="shared" si="3"/>
        <v>91.462500000000006</v>
      </c>
    </row>
    <row r="15" spans="1:29" s="379" customFormat="1" ht="18" customHeight="1">
      <c r="A15" s="313">
        <v>6</v>
      </c>
      <c r="B15" s="314" t="s">
        <v>339</v>
      </c>
      <c r="C15" s="315" t="s">
        <v>179</v>
      </c>
      <c r="D15" s="315" t="s">
        <v>334</v>
      </c>
      <c r="E15" s="611">
        <v>731.7</v>
      </c>
      <c r="F15" s="599">
        <v>8048.7</v>
      </c>
      <c r="G15" s="601"/>
      <c r="H15" s="601"/>
      <c r="I15" s="601"/>
      <c r="J15" s="602">
        <f t="shared" si="0"/>
        <v>8048.7</v>
      </c>
      <c r="K15" s="602"/>
      <c r="L15" s="604"/>
      <c r="M15" s="604"/>
      <c r="N15" s="604">
        <v>1500</v>
      </c>
      <c r="O15" s="604">
        <v>804.87</v>
      </c>
      <c r="P15" s="604">
        <v>200</v>
      </c>
      <c r="Q15" s="605"/>
      <c r="R15" s="606"/>
      <c r="S15" s="607">
        <f t="shared" si="1"/>
        <v>2504.87</v>
      </c>
      <c r="T15" s="599">
        <f t="shared" si="2"/>
        <v>5543.83</v>
      </c>
      <c r="U15" s="608" t="s">
        <v>25</v>
      </c>
      <c r="V15" s="327">
        <v>16097.4</v>
      </c>
      <c r="W15" s="609">
        <f t="shared" si="4"/>
        <v>8048.7</v>
      </c>
      <c r="X15" s="373">
        <v>731.7</v>
      </c>
      <c r="Y15" s="328">
        <v>1.52</v>
      </c>
      <c r="Z15" s="610">
        <f t="shared" si="3"/>
        <v>91.462500000000006</v>
      </c>
    </row>
    <row r="16" spans="1:29" s="379" customFormat="1" ht="18" customHeight="1">
      <c r="A16" s="313">
        <v>7</v>
      </c>
      <c r="B16" s="314" t="s">
        <v>340</v>
      </c>
      <c r="C16" s="315" t="s">
        <v>179</v>
      </c>
      <c r="D16" s="315" t="s">
        <v>334</v>
      </c>
      <c r="E16" s="611">
        <v>731.7</v>
      </c>
      <c r="F16" s="599">
        <v>8048.7</v>
      </c>
      <c r="G16" s="613"/>
      <c r="H16" s="601"/>
      <c r="I16" s="601"/>
      <c r="J16" s="602">
        <f t="shared" si="0"/>
        <v>8048.7</v>
      </c>
      <c r="K16" s="602"/>
      <c r="L16" s="604"/>
      <c r="M16" s="604"/>
      <c r="N16" s="604">
        <v>760</v>
      </c>
      <c r="O16" s="604">
        <v>804.87</v>
      </c>
      <c r="P16" s="604">
        <v>500</v>
      </c>
      <c r="Q16" s="605"/>
      <c r="R16" s="606"/>
      <c r="S16" s="607">
        <f>K16+L16+M16+N16+O16+P16+Q16+R16</f>
        <v>2064.87</v>
      </c>
      <c r="T16" s="599">
        <f>J16-S16</f>
        <v>5983.83</v>
      </c>
      <c r="U16" s="608" t="s">
        <v>25</v>
      </c>
      <c r="V16" s="327">
        <v>16097.4</v>
      </c>
      <c r="W16" s="609">
        <f>V16/2</f>
        <v>8048.7</v>
      </c>
      <c r="X16" s="373">
        <v>731.7</v>
      </c>
      <c r="Y16" s="328">
        <v>1.52</v>
      </c>
      <c r="Z16" s="610">
        <f t="shared" si="3"/>
        <v>91.462500000000006</v>
      </c>
    </row>
    <row r="17" spans="1:26" s="379" customFormat="1" ht="18" customHeight="1">
      <c r="A17" s="313">
        <v>8</v>
      </c>
      <c r="B17" s="314" t="s">
        <v>341</v>
      </c>
      <c r="C17" s="315" t="s">
        <v>179</v>
      </c>
      <c r="D17" s="315" t="s">
        <v>334</v>
      </c>
      <c r="E17" s="611">
        <v>1216.45</v>
      </c>
      <c r="F17" s="599">
        <v>13380.95</v>
      </c>
      <c r="G17" s="613"/>
      <c r="H17" s="601"/>
      <c r="I17" s="601"/>
      <c r="J17" s="602">
        <f t="shared" si="0"/>
        <v>13380.95</v>
      </c>
      <c r="K17" s="603">
        <v>296.43</v>
      </c>
      <c r="L17" s="604"/>
      <c r="M17" s="604"/>
      <c r="N17" s="604">
        <v>1060</v>
      </c>
      <c r="O17" s="604">
        <v>1338.1</v>
      </c>
      <c r="P17" s="604">
        <v>200</v>
      </c>
      <c r="Q17" s="605"/>
      <c r="R17" s="606"/>
      <c r="S17" s="607">
        <f t="shared" si="1"/>
        <v>2894.5299999999997</v>
      </c>
      <c r="T17" s="599">
        <f t="shared" si="2"/>
        <v>10486.420000000002</v>
      </c>
      <c r="U17" s="608" t="s">
        <v>25</v>
      </c>
      <c r="V17" s="327">
        <v>26761.9</v>
      </c>
      <c r="W17" s="609">
        <f t="shared" si="4"/>
        <v>13380.95</v>
      </c>
      <c r="X17" s="373">
        <v>1216.45</v>
      </c>
      <c r="Y17" s="328">
        <v>2.5299999999999998</v>
      </c>
      <c r="Z17" s="610">
        <f t="shared" si="3"/>
        <v>152.05625000000001</v>
      </c>
    </row>
    <row r="18" spans="1:26" s="379" customFormat="1" ht="18" customHeight="1">
      <c r="A18" s="313">
        <v>9</v>
      </c>
      <c r="B18" s="314" t="s">
        <v>342</v>
      </c>
      <c r="C18" s="315" t="s">
        <v>179</v>
      </c>
      <c r="D18" s="315" t="s">
        <v>334</v>
      </c>
      <c r="E18" s="611">
        <v>731.7</v>
      </c>
      <c r="F18" s="599">
        <v>8048.7</v>
      </c>
      <c r="G18" s="613"/>
      <c r="H18" s="601"/>
      <c r="I18" s="601"/>
      <c r="J18" s="602">
        <f t="shared" si="0"/>
        <v>8048.7</v>
      </c>
      <c r="K18" s="602"/>
      <c r="L18" s="604"/>
      <c r="M18" s="604"/>
      <c r="N18" s="604">
        <v>760</v>
      </c>
      <c r="O18" s="604">
        <v>804.87</v>
      </c>
      <c r="P18" s="604">
        <v>200</v>
      </c>
      <c r="Q18" s="605"/>
      <c r="R18" s="606"/>
      <c r="S18" s="607">
        <f t="shared" si="1"/>
        <v>1764.87</v>
      </c>
      <c r="T18" s="599">
        <f t="shared" si="2"/>
        <v>6283.83</v>
      </c>
      <c r="U18" s="608" t="s">
        <v>25</v>
      </c>
      <c r="V18" s="327">
        <v>16097.4</v>
      </c>
      <c r="W18" s="609">
        <f t="shared" si="4"/>
        <v>8048.7</v>
      </c>
      <c r="X18" s="373">
        <v>731.7</v>
      </c>
      <c r="Y18" s="328">
        <v>1.52</v>
      </c>
      <c r="Z18" s="610">
        <f t="shared" si="3"/>
        <v>91.462500000000006</v>
      </c>
    </row>
    <row r="19" spans="1:26" s="379" customFormat="1" ht="18" customHeight="1">
      <c r="A19" s="313">
        <v>10</v>
      </c>
      <c r="B19" s="314" t="s">
        <v>343</v>
      </c>
      <c r="C19" s="315" t="s">
        <v>179</v>
      </c>
      <c r="D19" s="315" t="s">
        <v>334</v>
      </c>
      <c r="E19" s="611">
        <v>731.7</v>
      </c>
      <c r="F19" s="599">
        <v>8048.7</v>
      </c>
      <c r="G19" s="613"/>
      <c r="H19" s="601"/>
      <c r="I19" s="601"/>
      <c r="J19" s="602">
        <f t="shared" si="0"/>
        <v>8048.7</v>
      </c>
      <c r="K19" s="602"/>
      <c r="L19" s="604">
        <v>241.46</v>
      </c>
      <c r="M19" s="604">
        <v>160.97</v>
      </c>
      <c r="N19" s="615"/>
      <c r="O19" s="615"/>
      <c r="P19" s="604">
        <v>200</v>
      </c>
      <c r="Q19" s="605"/>
      <c r="R19" s="606"/>
      <c r="S19" s="607">
        <f t="shared" si="1"/>
        <v>602.43000000000006</v>
      </c>
      <c r="T19" s="599">
        <f t="shared" si="2"/>
        <v>7446.2699999999995</v>
      </c>
      <c r="U19" s="616" t="s">
        <v>344</v>
      </c>
      <c r="V19" s="327">
        <v>16097.4</v>
      </c>
      <c r="W19" s="609">
        <f>V19/2</f>
        <v>8048.7</v>
      </c>
      <c r="X19" s="373">
        <v>731.7</v>
      </c>
      <c r="Y19" s="328">
        <v>1.52</v>
      </c>
      <c r="Z19" s="610">
        <f t="shared" si="3"/>
        <v>91.462500000000006</v>
      </c>
    </row>
    <row r="20" spans="1:26" s="379" customFormat="1" ht="18" customHeight="1">
      <c r="A20" s="313">
        <v>11</v>
      </c>
      <c r="B20" s="314" t="s">
        <v>345</v>
      </c>
      <c r="C20" s="315" t="s">
        <v>179</v>
      </c>
      <c r="D20" s="315" t="s">
        <v>334</v>
      </c>
      <c r="E20" s="611">
        <v>731.7</v>
      </c>
      <c r="F20" s="599">
        <v>8048.7</v>
      </c>
      <c r="G20" s="613"/>
      <c r="H20" s="601"/>
      <c r="I20" s="601"/>
      <c r="J20" s="602">
        <f t="shared" si="0"/>
        <v>8048.7</v>
      </c>
      <c r="K20" s="602"/>
      <c r="L20" s="604"/>
      <c r="M20" s="604"/>
      <c r="N20" s="604">
        <v>760</v>
      </c>
      <c r="O20" s="604">
        <v>804.87</v>
      </c>
      <c r="P20" s="604">
        <v>200</v>
      </c>
      <c r="Q20" s="605"/>
      <c r="R20" s="606"/>
      <c r="S20" s="607">
        <f t="shared" si="1"/>
        <v>1764.87</v>
      </c>
      <c r="T20" s="599">
        <f t="shared" si="2"/>
        <v>6283.83</v>
      </c>
      <c r="U20" s="608" t="s">
        <v>25</v>
      </c>
      <c r="V20" s="327">
        <v>16097.4</v>
      </c>
      <c r="W20" s="609">
        <f t="shared" si="4"/>
        <v>8048.7</v>
      </c>
      <c r="X20" s="373">
        <v>731.7</v>
      </c>
      <c r="Y20" s="328">
        <v>1.52</v>
      </c>
      <c r="Z20" s="610">
        <f t="shared" si="3"/>
        <v>91.462500000000006</v>
      </c>
    </row>
    <row r="21" spans="1:26" s="379" customFormat="1" ht="18" customHeight="1">
      <c r="A21" s="313">
        <v>12</v>
      </c>
      <c r="B21" s="314" t="s">
        <v>346</v>
      </c>
      <c r="C21" s="315" t="s">
        <v>179</v>
      </c>
      <c r="D21" s="315" t="s">
        <v>334</v>
      </c>
      <c r="E21" s="611">
        <v>731.7</v>
      </c>
      <c r="F21" s="599">
        <v>8048.7</v>
      </c>
      <c r="G21" s="613"/>
      <c r="H21" s="601"/>
      <c r="I21" s="601"/>
      <c r="J21" s="602">
        <f t="shared" si="0"/>
        <v>8048.7</v>
      </c>
      <c r="K21" s="602"/>
      <c r="L21" s="604"/>
      <c r="M21" s="604"/>
      <c r="N21" s="604">
        <v>760</v>
      </c>
      <c r="O21" s="604">
        <v>804.87</v>
      </c>
      <c r="P21" s="604">
        <v>200</v>
      </c>
      <c r="Q21" s="605"/>
      <c r="R21" s="606"/>
      <c r="S21" s="607">
        <f t="shared" si="1"/>
        <v>1764.87</v>
      </c>
      <c r="T21" s="599">
        <f t="shared" si="2"/>
        <v>6283.83</v>
      </c>
      <c r="U21" s="608" t="s">
        <v>25</v>
      </c>
      <c r="V21" s="327">
        <v>16097.4</v>
      </c>
      <c r="W21" s="609">
        <f t="shared" si="4"/>
        <v>8048.7</v>
      </c>
      <c r="X21" s="373">
        <v>731.7</v>
      </c>
      <c r="Y21" s="328">
        <v>1.52</v>
      </c>
      <c r="Z21" s="610">
        <f t="shared" si="3"/>
        <v>91.462500000000006</v>
      </c>
    </row>
    <row r="22" spans="1:26" s="379" customFormat="1" ht="18" customHeight="1">
      <c r="A22" s="313">
        <v>13</v>
      </c>
      <c r="B22" s="314" t="s">
        <v>347</v>
      </c>
      <c r="C22" s="315" t="s">
        <v>179</v>
      </c>
      <c r="D22" s="315" t="s">
        <v>334</v>
      </c>
      <c r="E22" s="611">
        <v>731.7</v>
      </c>
      <c r="F22" s="599">
        <v>8048.7</v>
      </c>
      <c r="G22" s="613"/>
      <c r="H22" s="601"/>
      <c r="I22" s="601"/>
      <c r="J22" s="602">
        <f t="shared" si="0"/>
        <v>8048.7</v>
      </c>
      <c r="K22" s="602"/>
      <c r="L22" s="604"/>
      <c r="M22" s="604"/>
      <c r="N22" s="604">
        <v>760</v>
      </c>
      <c r="O22" s="604">
        <v>804.87</v>
      </c>
      <c r="P22" s="604">
        <v>200</v>
      </c>
      <c r="Q22" s="605"/>
      <c r="R22" s="606"/>
      <c r="S22" s="607">
        <f t="shared" si="1"/>
        <v>1764.87</v>
      </c>
      <c r="T22" s="599">
        <f t="shared" si="2"/>
        <v>6283.83</v>
      </c>
      <c r="U22" s="608" t="s">
        <v>25</v>
      </c>
      <c r="V22" s="327">
        <v>16097.4</v>
      </c>
      <c r="W22" s="609">
        <f t="shared" si="4"/>
        <v>8048.7</v>
      </c>
      <c r="X22" s="373">
        <v>731.7</v>
      </c>
      <c r="Y22" s="328">
        <v>1.52</v>
      </c>
      <c r="Z22" s="610">
        <f t="shared" si="3"/>
        <v>91.462500000000006</v>
      </c>
    </row>
    <row r="23" spans="1:26" s="379" customFormat="1" ht="18" customHeight="1">
      <c r="A23" s="313">
        <v>14</v>
      </c>
      <c r="B23" s="314" t="s">
        <v>348</v>
      </c>
      <c r="C23" s="315" t="s">
        <v>179</v>
      </c>
      <c r="D23" s="315" t="s">
        <v>334</v>
      </c>
      <c r="E23" s="611">
        <v>731.7</v>
      </c>
      <c r="F23" s="599">
        <v>8048.7</v>
      </c>
      <c r="G23" s="613"/>
      <c r="H23" s="601"/>
      <c r="I23" s="601"/>
      <c r="J23" s="602">
        <f t="shared" si="0"/>
        <v>8048.7</v>
      </c>
      <c r="K23" s="602"/>
      <c r="L23" s="604">
        <v>241.46</v>
      </c>
      <c r="M23" s="604">
        <v>160.97</v>
      </c>
      <c r="N23" s="604">
        <v>760</v>
      </c>
      <c r="O23" s="604">
        <v>804.87</v>
      </c>
      <c r="P23" s="604">
        <v>200</v>
      </c>
      <c r="Q23" s="605"/>
      <c r="R23" s="606"/>
      <c r="S23" s="607">
        <f t="shared" si="1"/>
        <v>2167.3000000000002</v>
      </c>
      <c r="T23" s="599">
        <f t="shared" si="2"/>
        <v>5881.4</v>
      </c>
      <c r="U23" s="616"/>
      <c r="V23" s="327">
        <v>16097.4</v>
      </c>
      <c r="W23" s="609">
        <f>V23/2</f>
        <v>8048.7</v>
      </c>
      <c r="X23" s="373">
        <v>731.7</v>
      </c>
      <c r="Y23" s="328">
        <v>1.52</v>
      </c>
      <c r="Z23" s="610">
        <f t="shared" si="3"/>
        <v>91.462500000000006</v>
      </c>
    </row>
    <row r="24" spans="1:26" s="379" customFormat="1" ht="18" customHeight="1">
      <c r="A24" s="313">
        <v>15</v>
      </c>
      <c r="B24" s="314" t="s">
        <v>349</v>
      </c>
      <c r="C24" s="315" t="s">
        <v>179</v>
      </c>
      <c r="D24" s="315" t="s">
        <v>334</v>
      </c>
      <c r="E24" s="611">
        <v>731.7</v>
      </c>
      <c r="F24" s="599">
        <v>8048.7</v>
      </c>
      <c r="G24" s="613"/>
      <c r="H24" s="601"/>
      <c r="I24" s="601"/>
      <c r="J24" s="602">
        <f t="shared" si="0"/>
        <v>8048.7</v>
      </c>
      <c r="K24" s="602"/>
      <c r="L24" s="604"/>
      <c r="M24" s="604"/>
      <c r="N24" s="604">
        <v>760</v>
      </c>
      <c r="O24" s="604">
        <v>804.87</v>
      </c>
      <c r="P24" s="604">
        <v>200</v>
      </c>
      <c r="Q24" s="605"/>
      <c r="R24" s="601">
        <v>25</v>
      </c>
      <c r="S24" s="607">
        <f t="shared" si="1"/>
        <v>1789.87</v>
      </c>
      <c r="T24" s="599">
        <f t="shared" si="2"/>
        <v>6258.83</v>
      </c>
      <c r="U24" s="608" t="s">
        <v>25</v>
      </c>
      <c r="V24" s="327">
        <v>16097.4</v>
      </c>
      <c r="W24" s="609">
        <f>V24/2</f>
        <v>8048.7</v>
      </c>
      <c r="X24" s="373">
        <v>731.7</v>
      </c>
      <c r="Y24" s="328">
        <v>1.52</v>
      </c>
      <c r="Z24" s="610">
        <f t="shared" si="3"/>
        <v>91.462500000000006</v>
      </c>
    </row>
    <row r="25" spans="1:26" s="379" customFormat="1" ht="18" customHeight="1">
      <c r="A25" s="313">
        <v>16</v>
      </c>
      <c r="B25" s="314" t="s">
        <v>350</v>
      </c>
      <c r="C25" s="315" t="s">
        <v>179</v>
      </c>
      <c r="D25" s="315" t="s">
        <v>334</v>
      </c>
      <c r="E25" s="611">
        <v>731.7</v>
      </c>
      <c r="F25" s="599">
        <v>8048.7</v>
      </c>
      <c r="G25" s="613"/>
      <c r="H25" s="601"/>
      <c r="I25" s="601"/>
      <c r="J25" s="602">
        <f t="shared" si="0"/>
        <v>8048.7</v>
      </c>
      <c r="K25" s="602"/>
      <c r="L25" s="604"/>
      <c r="M25" s="604"/>
      <c r="N25" s="604">
        <v>760</v>
      </c>
      <c r="O25" s="615"/>
      <c r="P25" s="604">
        <v>200</v>
      </c>
      <c r="Q25" s="605"/>
      <c r="R25" s="606"/>
      <c r="S25" s="607">
        <f t="shared" si="1"/>
        <v>960</v>
      </c>
      <c r="T25" s="599">
        <f t="shared" si="2"/>
        <v>7088.7</v>
      </c>
      <c r="U25" s="608" t="s">
        <v>25</v>
      </c>
      <c r="V25" s="327">
        <v>16097.4</v>
      </c>
      <c r="W25" s="609">
        <f>V25/2</f>
        <v>8048.7</v>
      </c>
      <c r="X25" s="373">
        <v>731.7</v>
      </c>
      <c r="Y25" s="328">
        <v>1.52</v>
      </c>
      <c r="Z25" s="610">
        <f t="shared" si="3"/>
        <v>91.462500000000006</v>
      </c>
    </row>
    <row r="26" spans="1:26" s="379" customFormat="1" ht="18" customHeight="1">
      <c r="A26" s="313">
        <v>17</v>
      </c>
      <c r="B26" s="314" t="s">
        <v>351</v>
      </c>
      <c r="C26" s="315" t="s">
        <v>179</v>
      </c>
      <c r="D26" s="315" t="s">
        <v>334</v>
      </c>
      <c r="E26" s="611">
        <v>731.7</v>
      </c>
      <c r="F26" s="599">
        <v>8048.7</v>
      </c>
      <c r="G26" s="613"/>
      <c r="H26" s="601"/>
      <c r="I26" s="601"/>
      <c r="J26" s="602">
        <f t="shared" si="0"/>
        <v>8048.7</v>
      </c>
      <c r="K26" s="602"/>
      <c r="L26" s="604"/>
      <c r="M26" s="604"/>
      <c r="N26" s="604">
        <v>760</v>
      </c>
      <c r="O26" s="604">
        <v>804.87</v>
      </c>
      <c r="P26" s="604">
        <v>200</v>
      </c>
      <c r="Q26" s="605"/>
      <c r="R26" s="606"/>
      <c r="S26" s="607">
        <f t="shared" si="1"/>
        <v>1764.87</v>
      </c>
      <c r="T26" s="599">
        <f t="shared" si="2"/>
        <v>6283.83</v>
      </c>
      <c r="U26" s="608" t="s">
        <v>25</v>
      </c>
      <c r="V26" s="327">
        <v>16097.4</v>
      </c>
      <c r="W26" s="609">
        <f t="shared" ref="W26:W27" si="5">V26/2</f>
        <v>8048.7</v>
      </c>
      <c r="X26" s="373">
        <v>731.7</v>
      </c>
      <c r="Y26" s="328">
        <v>1.52</v>
      </c>
      <c r="Z26" s="610">
        <f t="shared" si="3"/>
        <v>91.462500000000006</v>
      </c>
    </row>
    <row r="27" spans="1:26" s="379" customFormat="1" ht="18" customHeight="1">
      <c r="A27" s="313">
        <v>18</v>
      </c>
      <c r="B27" s="314" t="s">
        <v>352</v>
      </c>
      <c r="C27" s="315" t="s">
        <v>179</v>
      </c>
      <c r="D27" s="315" t="s">
        <v>334</v>
      </c>
      <c r="E27" s="611">
        <v>731.7</v>
      </c>
      <c r="F27" s="599">
        <v>8048.7</v>
      </c>
      <c r="G27" s="613"/>
      <c r="H27" s="601"/>
      <c r="I27" s="601"/>
      <c r="J27" s="602">
        <f t="shared" si="0"/>
        <v>8048.7</v>
      </c>
      <c r="K27" s="602"/>
      <c r="L27" s="604"/>
      <c r="M27" s="604"/>
      <c r="N27" s="604">
        <v>760</v>
      </c>
      <c r="O27" s="604">
        <v>804.87</v>
      </c>
      <c r="P27" s="604">
        <v>200</v>
      </c>
      <c r="Q27" s="605"/>
      <c r="R27" s="606"/>
      <c r="S27" s="607">
        <f t="shared" si="1"/>
        <v>1764.87</v>
      </c>
      <c r="T27" s="599">
        <f t="shared" si="2"/>
        <v>6283.83</v>
      </c>
      <c r="U27" s="608" t="s">
        <v>25</v>
      </c>
      <c r="V27" s="327">
        <v>16097.4</v>
      </c>
      <c r="W27" s="609">
        <f t="shared" si="5"/>
        <v>8048.7</v>
      </c>
      <c r="X27" s="373">
        <v>731.7</v>
      </c>
      <c r="Y27" s="328">
        <v>1.52</v>
      </c>
      <c r="Z27" s="610">
        <f t="shared" si="3"/>
        <v>91.462500000000006</v>
      </c>
    </row>
    <row r="28" spans="1:26" s="379" customFormat="1" ht="18" customHeight="1">
      <c r="A28" s="313">
        <v>19</v>
      </c>
      <c r="B28" s="314" t="s">
        <v>353</v>
      </c>
      <c r="C28" s="315" t="s">
        <v>179</v>
      </c>
      <c r="D28" s="315" t="s">
        <v>334</v>
      </c>
      <c r="E28" s="611">
        <v>731.7</v>
      </c>
      <c r="F28" s="599">
        <v>8048.7</v>
      </c>
      <c r="G28" s="613"/>
      <c r="H28" s="601"/>
      <c r="I28" s="601"/>
      <c r="J28" s="602">
        <f t="shared" si="0"/>
        <v>8048.7</v>
      </c>
      <c r="K28" s="602"/>
      <c r="L28" s="604"/>
      <c r="M28" s="604"/>
      <c r="N28" s="604">
        <v>750</v>
      </c>
      <c r="O28" s="604">
        <v>804.87</v>
      </c>
      <c r="P28" s="604">
        <v>200</v>
      </c>
      <c r="Q28" s="605"/>
      <c r="R28" s="606"/>
      <c r="S28" s="607">
        <f t="shared" si="1"/>
        <v>1754.87</v>
      </c>
      <c r="T28" s="599">
        <f t="shared" si="2"/>
        <v>6293.83</v>
      </c>
      <c r="U28" s="608" t="s">
        <v>25</v>
      </c>
      <c r="V28" s="327">
        <v>16097.4</v>
      </c>
      <c r="W28" s="609">
        <f t="shared" si="4"/>
        <v>8048.7</v>
      </c>
      <c r="X28" s="373">
        <v>731.7</v>
      </c>
      <c r="Y28" s="328">
        <v>1.52</v>
      </c>
      <c r="Z28" s="610">
        <f t="shared" si="3"/>
        <v>91.462500000000006</v>
      </c>
    </row>
    <row r="29" spans="1:26" s="379" customFormat="1" ht="18" customHeight="1">
      <c r="A29" s="313">
        <v>20</v>
      </c>
      <c r="B29" s="314" t="s">
        <v>354</v>
      </c>
      <c r="C29" s="315" t="s">
        <v>179</v>
      </c>
      <c r="D29" s="315" t="s">
        <v>334</v>
      </c>
      <c r="E29" s="617">
        <v>1072.4000000000001</v>
      </c>
      <c r="F29" s="599">
        <v>11796.4</v>
      </c>
      <c r="G29" s="613"/>
      <c r="H29" s="601"/>
      <c r="I29" s="601"/>
      <c r="J29" s="602">
        <f t="shared" si="0"/>
        <v>11796.4</v>
      </c>
      <c r="K29" s="603">
        <v>137.97</v>
      </c>
      <c r="L29" s="604"/>
      <c r="M29" s="604"/>
      <c r="N29" s="604">
        <v>760</v>
      </c>
      <c r="O29" s="604">
        <v>1179.6400000000001</v>
      </c>
      <c r="P29" s="604">
        <v>200</v>
      </c>
      <c r="Q29" s="605"/>
      <c r="R29" s="606"/>
      <c r="S29" s="607">
        <f t="shared" si="1"/>
        <v>2277.61</v>
      </c>
      <c r="T29" s="599">
        <f t="shared" si="2"/>
        <v>9518.7899999999991</v>
      </c>
      <c r="U29" s="608" t="s">
        <v>25</v>
      </c>
      <c r="V29" s="609">
        <v>23592.799999999999</v>
      </c>
      <c r="W29" s="373">
        <f>V29/2</f>
        <v>11796.4</v>
      </c>
      <c r="X29" s="328">
        <v>1072.4000000000001</v>
      </c>
      <c r="Y29" s="610">
        <v>2.23</v>
      </c>
      <c r="Z29" s="610">
        <f t="shared" si="3"/>
        <v>134.05000000000001</v>
      </c>
    </row>
    <row r="30" spans="1:26" s="379" customFormat="1" ht="18" customHeight="1">
      <c r="A30" s="313">
        <v>21</v>
      </c>
      <c r="B30" s="314" t="s">
        <v>355</v>
      </c>
      <c r="C30" s="315" t="s">
        <v>179</v>
      </c>
      <c r="D30" s="315" t="s">
        <v>334</v>
      </c>
      <c r="E30" s="611">
        <v>731.7</v>
      </c>
      <c r="F30" s="599">
        <v>8048.7</v>
      </c>
      <c r="G30" s="613"/>
      <c r="H30" s="601"/>
      <c r="I30" s="601"/>
      <c r="J30" s="602">
        <f t="shared" si="0"/>
        <v>8048.7</v>
      </c>
      <c r="K30" s="602"/>
      <c r="L30" s="604">
        <v>241.46</v>
      </c>
      <c r="M30" s="604">
        <v>160.97</v>
      </c>
      <c r="N30" s="604">
        <v>760</v>
      </c>
      <c r="O30" s="604">
        <v>804.87</v>
      </c>
      <c r="P30" s="604">
        <v>200</v>
      </c>
      <c r="Q30" s="605"/>
      <c r="R30" s="606"/>
      <c r="S30" s="607">
        <f t="shared" si="1"/>
        <v>2167.3000000000002</v>
      </c>
      <c r="T30" s="599">
        <f t="shared" si="2"/>
        <v>5881.4</v>
      </c>
      <c r="U30" s="616"/>
      <c r="V30" s="327">
        <v>16097.4</v>
      </c>
      <c r="W30" s="609">
        <f>V30/2</f>
        <v>8048.7</v>
      </c>
      <c r="X30" s="373">
        <v>731.7</v>
      </c>
      <c r="Y30" s="328">
        <v>1.52</v>
      </c>
      <c r="Z30" s="610">
        <f t="shared" si="3"/>
        <v>91.462500000000006</v>
      </c>
    </row>
    <row r="31" spans="1:26" s="379" customFormat="1" ht="18" customHeight="1">
      <c r="A31" s="313">
        <v>22</v>
      </c>
      <c r="B31" s="314" t="s">
        <v>356</v>
      </c>
      <c r="C31" s="315" t="s">
        <v>179</v>
      </c>
      <c r="D31" s="315" t="s">
        <v>334</v>
      </c>
      <c r="E31" s="611">
        <v>731.7</v>
      </c>
      <c r="F31" s="599">
        <v>8048.7</v>
      </c>
      <c r="G31" s="613"/>
      <c r="H31" s="601"/>
      <c r="I31" s="601"/>
      <c r="J31" s="602">
        <f t="shared" si="0"/>
        <v>8048.7</v>
      </c>
      <c r="K31" s="602"/>
      <c r="L31" s="604"/>
      <c r="M31" s="604"/>
      <c r="N31" s="604">
        <v>760</v>
      </c>
      <c r="O31" s="604">
        <v>804.87</v>
      </c>
      <c r="P31" s="604">
        <v>200</v>
      </c>
      <c r="Q31" s="605"/>
      <c r="R31" s="606"/>
      <c r="S31" s="607">
        <f t="shared" si="1"/>
        <v>1764.87</v>
      </c>
      <c r="T31" s="599">
        <f t="shared" si="2"/>
        <v>6283.83</v>
      </c>
      <c r="U31" s="608" t="s">
        <v>25</v>
      </c>
      <c r="V31" s="327">
        <v>16097.4</v>
      </c>
      <c r="W31" s="609">
        <f t="shared" ref="W31" si="6">V31/2</f>
        <v>8048.7</v>
      </c>
      <c r="X31" s="373">
        <v>731.7</v>
      </c>
      <c r="Y31" s="328">
        <v>1.52</v>
      </c>
      <c r="Z31" s="610">
        <f t="shared" si="3"/>
        <v>91.462500000000006</v>
      </c>
    </row>
    <row r="32" spans="1:26" s="379" customFormat="1" ht="18" customHeight="1">
      <c r="A32" s="313">
        <v>23</v>
      </c>
      <c r="B32" s="314" t="s">
        <v>357</v>
      </c>
      <c r="C32" s="315" t="s">
        <v>179</v>
      </c>
      <c r="D32" s="315" t="s">
        <v>334</v>
      </c>
      <c r="E32" s="611">
        <v>731.7</v>
      </c>
      <c r="F32" s="599">
        <v>8048.7</v>
      </c>
      <c r="G32" s="613"/>
      <c r="H32" s="601"/>
      <c r="I32" s="601"/>
      <c r="J32" s="602">
        <f t="shared" si="0"/>
        <v>8048.7</v>
      </c>
      <c r="K32" s="602"/>
      <c r="L32" s="604"/>
      <c r="M32" s="604"/>
      <c r="N32" s="604">
        <v>835</v>
      </c>
      <c r="O32" s="604">
        <v>804.87</v>
      </c>
      <c r="P32" s="604">
        <v>200</v>
      </c>
      <c r="Q32" s="605"/>
      <c r="R32" s="606"/>
      <c r="S32" s="607">
        <f>K32+L32+M32+N32+O32+P32+Q32+R32</f>
        <v>1839.87</v>
      </c>
      <c r="T32" s="599">
        <f t="shared" si="2"/>
        <v>6208.83</v>
      </c>
      <c r="U32" s="608" t="s">
        <v>25</v>
      </c>
      <c r="V32" s="327">
        <v>16097.4</v>
      </c>
      <c r="W32" s="609">
        <f t="shared" si="4"/>
        <v>8048.7</v>
      </c>
      <c r="X32" s="373">
        <v>731.7</v>
      </c>
      <c r="Y32" s="328">
        <v>1.52</v>
      </c>
      <c r="Z32" s="610">
        <f t="shared" si="3"/>
        <v>91.462500000000006</v>
      </c>
    </row>
    <row r="33" spans="1:28" s="379" customFormat="1" ht="18" customHeight="1">
      <c r="A33" s="313">
        <v>24</v>
      </c>
      <c r="B33" s="314" t="s">
        <v>358</v>
      </c>
      <c r="C33" s="315" t="s">
        <v>179</v>
      </c>
      <c r="D33" s="315" t="s">
        <v>334</v>
      </c>
      <c r="E33" s="611">
        <v>731.7</v>
      </c>
      <c r="F33" s="599">
        <v>8048.7</v>
      </c>
      <c r="G33" s="613"/>
      <c r="H33" s="601"/>
      <c r="I33" s="601"/>
      <c r="J33" s="602">
        <f t="shared" si="0"/>
        <v>8048.7</v>
      </c>
      <c r="K33" s="602"/>
      <c r="L33" s="604"/>
      <c r="M33" s="604"/>
      <c r="N33" s="604">
        <v>760</v>
      </c>
      <c r="O33" s="604">
        <v>804.87</v>
      </c>
      <c r="P33" s="604">
        <v>200</v>
      </c>
      <c r="Q33" s="605"/>
      <c r="R33" s="618">
        <v>1400</v>
      </c>
      <c r="S33" s="607">
        <f>K33+L33+M33+N33+O33+P33+Q33+R33</f>
        <v>3164.87</v>
      </c>
      <c r="T33" s="599">
        <f t="shared" si="2"/>
        <v>4883.83</v>
      </c>
      <c r="U33" s="608" t="s">
        <v>25</v>
      </c>
      <c r="V33" s="327">
        <v>16097.4</v>
      </c>
      <c r="W33" s="609">
        <f t="shared" si="4"/>
        <v>8048.7</v>
      </c>
      <c r="X33" s="373">
        <v>731.7</v>
      </c>
      <c r="Y33" s="328">
        <v>1.52</v>
      </c>
      <c r="Z33" s="610">
        <f t="shared" si="3"/>
        <v>91.462500000000006</v>
      </c>
    </row>
    <row r="34" spans="1:28" s="379" customFormat="1" ht="18" customHeight="1">
      <c r="A34" s="313">
        <v>25</v>
      </c>
      <c r="B34" s="314" t="s">
        <v>359</v>
      </c>
      <c r="C34" s="315" t="s">
        <v>179</v>
      </c>
      <c r="D34" s="315" t="s">
        <v>334</v>
      </c>
      <c r="E34" s="611">
        <v>731.7</v>
      </c>
      <c r="F34" s="599">
        <v>8048.7</v>
      </c>
      <c r="G34" s="613"/>
      <c r="H34" s="601"/>
      <c r="I34" s="601"/>
      <c r="J34" s="602">
        <f t="shared" si="0"/>
        <v>8048.7</v>
      </c>
      <c r="K34" s="602"/>
      <c r="L34" s="604"/>
      <c r="M34" s="604"/>
      <c r="N34" s="604">
        <v>750</v>
      </c>
      <c r="O34" s="604">
        <v>804.87</v>
      </c>
      <c r="P34" s="604">
        <v>200</v>
      </c>
      <c r="Q34" s="605"/>
      <c r="R34" s="606"/>
      <c r="S34" s="607">
        <f t="shared" si="1"/>
        <v>1754.87</v>
      </c>
      <c r="T34" s="599">
        <f t="shared" si="2"/>
        <v>6293.83</v>
      </c>
      <c r="U34" s="608" t="s">
        <v>25</v>
      </c>
      <c r="V34" s="327">
        <v>16097.4</v>
      </c>
      <c r="W34" s="609">
        <f t="shared" si="4"/>
        <v>8048.7</v>
      </c>
      <c r="X34" s="373">
        <v>731.7</v>
      </c>
      <c r="Y34" s="328">
        <v>1.52</v>
      </c>
      <c r="Z34" s="610">
        <f t="shared" si="3"/>
        <v>91.462500000000006</v>
      </c>
    </row>
    <row r="35" spans="1:28" s="379" customFormat="1" ht="18" customHeight="1">
      <c r="A35" s="313">
        <v>26</v>
      </c>
      <c r="B35" s="314" t="s">
        <v>360</v>
      </c>
      <c r="C35" s="315" t="s">
        <v>179</v>
      </c>
      <c r="D35" s="315" t="s">
        <v>334</v>
      </c>
      <c r="E35" s="611">
        <v>731.7</v>
      </c>
      <c r="F35" s="599">
        <v>8048.7</v>
      </c>
      <c r="G35" s="613"/>
      <c r="H35" s="601"/>
      <c r="I35" s="601"/>
      <c r="J35" s="602">
        <f t="shared" si="0"/>
        <v>8048.7</v>
      </c>
      <c r="K35" s="602"/>
      <c r="L35" s="604"/>
      <c r="M35" s="604"/>
      <c r="N35" s="604">
        <v>750</v>
      </c>
      <c r="O35" s="604">
        <v>804.87</v>
      </c>
      <c r="P35" s="604">
        <v>200</v>
      </c>
      <c r="Q35" s="605"/>
      <c r="R35" s="618">
        <v>700</v>
      </c>
      <c r="S35" s="607">
        <f t="shared" si="1"/>
        <v>2454.87</v>
      </c>
      <c r="T35" s="599">
        <f t="shared" si="2"/>
        <v>5593.83</v>
      </c>
      <c r="U35" s="608" t="s">
        <v>25</v>
      </c>
      <c r="V35" s="327">
        <v>16097.4</v>
      </c>
      <c r="W35" s="609">
        <f>V35/2</f>
        <v>8048.7</v>
      </c>
      <c r="X35" s="373">
        <v>731.7</v>
      </c>
      <c r="Y35" s="328">
        <v>1.52</v>
      </c>
      <c r="Z35" s="610">
        <f t="shared" si="3"/>
        <v>91.462500000000006</v>
      </c>
      <c r="AB35" s="379" t="s">
        <v>68</v>
      </c>
    </row>
    <row r="36" spans="1:28" s="379" customFormat="1" ht="18" customHeight="1">
      <c r="A36" s="313">
        <v>27</v>
      </c>
      <c r="B36" s="314" t="s">
        <v>361</v>
      </c>
      <c r="C36" s="315" t="s">
        <v>179</v>
      </c>
      <c r="D36" s="315" t="s">
        <v>334</v>
      </c>
      <c r="E36" s="611">
        <v>731.7</v>
      </c>
      <c r="F36" s="599">
        <v>8048.7</v>
      </c>
      <c r="G36" s="619"/>
      <c r="H36" s="601"/>
      <c r="I36" s="601"/>
      <c r="J36" s="602">
        <f t="shared" si="0"/>
        <v>8048.7</v>
      </c>
      <c r="K36" s="602"/>
      <c r="L36" s="604"/>
      <c r="M36" s="604"/>
      <c r="N36" s="604">
        <v>760</v>
      </c>
      <c r="O36" s="604">
        <v>804.87</v>
      </c>
      <c r="P36" s="604">
        <v>200</v>
      </c>
      <c r="Q36" s="605"/>
      <c r="R36" s="606"/>
      <c r="S36" s="607">
        <f t="shared" si="1"/>
        <v>1764.87</v>
      </c>
      <c r="T36" s="599">
        <f t="shared" si="2"/>
        <v>6283.83</v>
      </c>
      <c r="U36" s="608" t="s">
        <v>25</v>
      </c>
      <c r="V36" s="327">
        <v>16097.4</v>
      </c>
      <c r="W36" s="609">
        <f t="shared" si="4"/>
        <v>8048.7</v>
      </c>
      <c r="X36" s="373">
        <v>731.7</v>
      </c>
      <c r="Y36" s="328">
        <v>1.52</v>
      </c>
      <c r="Z36" s="610">
        <f t="shared" si="3"/>
        <v>91.462500000000006</v>
      </c>
    </row>
    <row r="37" spans="1:28" s="379" customFormat="1" ht="18" customHeight="1">
      <c r="A37" s="313">
        <v>28</v>
      </c>
      <c r="B37" s="314" t="s">
        <v>362</v>
      </c>
      <c r="C37" s="315" t="s">
        <v>179</v>
      </c>
      <c r="D37" s="315" t="s">
        <v>334</v>
      </c>
      <c r="E37" s="617">
        <v>731.7</v>
      </c>
      <c r="F37" s="599">
        <v>8048.7</v>
      </c>
      <c r="G37" s="619"/>
      <c r="H37" s="601"/>
      <c r="I37" s="601"/>
      <c r="J37" s="602">
        <f t="shared" si="0"/>
        <v>8048.7</v>
      </c>
      <c r="K37" s="602"/>
      <c r="L37" s="604"/>
      <c r="M37" s="604"/>
      <c r="N37" s="604">
        <v>760</v>
      </c>
      <c r="O37" s="604">
        <v>804.87</v>
      </c>
      <c r="P37" s="604">
        <v>200</v>
      </c>
      <c r="Q37" s="605"/>
      <c r="R37" s="606"/>
      <c r="S37" s="607">
        <f t="shared" si="1"/>
        <v>1764.87</v>
      </c>
      <c r="T37" s="599">
        <f t="shared" si="2"/>
        <v>6283.83</v>
      </c>
      <c r="U37" s="608" t="s">
        <v>25</v>
      </c>
      <c r="V37" s="327">
        <v>16097.4</v>
      </c>
      <c r="W37" s="609">
        <f t="shared" si="4"/>
        <v>8048.7</v>
      </c>
      <c r="X37" s="373">
        <v>731.7</v>
      </c>
      <c r="Y37" s="328">
        <v>1.52</v>
      </c>
      <c r="Z37" s="610">
        <f t="shared" si="3"/>
        <v>91.462500000000006</v>
      </c>
    </row>
    <row r="38" spans="1:28" s="379" customFormat="1" ht="18" customHeight="1">
      <c r="A38" s="313">
        <v>29</v>
      </c>
      <c r="B38" s="314" t="s">
        <v>363</v>
      </c>
      <c r="C38" s="315" t="s">
        <v>179</v>
      </c>
      <c r="D38" s="315" t="s">
        <v>334</v>
      </c>
      <c r="E38" s="611">
        <v>731.7</v>
      </c>
      <c r="F38" s="599">
        <v>8048.7</v>
      </c>
      <c r="G38" s="613"/>
      <c r="H38" s="601"/>
      <c r="I38" s="601"/>
      <c r="J38" s="602">
        <f t="shared" si="0"/>
        <v>8048.7</v>
      </c>
      <c r="K38" s="602"/>
      <c r="L38" s="604"/>
      <c r="M38" s="604"/>
      <c r="N38" s="604">
        <v>750</v>
      </c>
      <c r="O38" s="604">
        <v>804.87</v>
      </c>
      <c r="P38" s="604">
        <v>200</v>
      </c>
      <c r="Q38" s="605"/>
      <c r="R38" s="606"/>
      <c r="S38" s="607">
        <f t="shared" si="1"/>
        <v>1754.87</v>
      </c>
      <c r="T38" s="599">
        <f t="shared" si="2"/>
        <v>6293.83</v>
      </c>
      <c r="U38" s="608" t="s">
        <v>25</v>
      </c>
      <c r="V38" s="327">
        <v>16097.4</v>
      </c>
      <c r="W38" s="609">
        <f t="shared" si="4"/>
        <v>8048.7</v>
      </c>
      <c r="X38" s="373">
        <v>731.7</v>
      </c>
      <c r="Y38" s="328">
        <v>1.52</v>
      </c>
      <c r="Z38" s="610">
        <f t="shared" si="3"/>
        <v>91.462500000000006</v>
      </c>
    </row>
    <row r="39" spans="1:28" s="379" customFormat="1" ht="18" customHeight="1">
      <c r="A39" s="313">
        <v>30</v>
      </c>
      <c r="B39" s="314" t="s">
        <v>364</v>
      </c>
      <c r="C39" s="315" t="s">
        <v>179</v>
      </c>
      <c r="D39" s="315" t="s">
        <v>334</v>
      </c>
      <c r="E39" s="611">
        <v>731.7</v>
      </c>
      <c r="F39" s="599">
        <v>8048.7</v>
      </c>
      <c r="G39" s="601"/>
      <c r="H39" s="601"/>
      <c r="I39" s="601"/>
      <c r="J39" s="602">
        <f t="shared" si="0"/>
        <v>8048.7</v>
      </c>
      <c r="K39" s="602"/>
      <c r="L39" s="604"/>
      <c r="M39" s="604"/>
      <c r="N39" s="604">
        <v>760</v>
      </c>
      <c r="O39" s="604">
        <v>804.87</v>
      </c>
      <c r="P39" s="620" t="s">
        <v>284</v>
      </c>
      <c r="Q39" s="605"/>
      <c r="R39" s="606"/>
      <c r="S39" s="607">
        <f>N39+O39</f>
        <v>1564.87</v>
      </c>
      <c r="T39" s="599">
        <f t="shared" si="2"/>
        <v>6483.83</v>
      </c>
      <c r="U39" s="608" t="s">
        <v>25</v>
      </c>
      <c r="V39" s="327">
        <v>16097.4</v>
      </c>
      <c r="W39" s="609">
        <f t="shared" si="4"/>
        <v>8048.7</v>
      </c>
      <c r="X39" s="373">
        <v>731.7</v>
      </c>
      <c r="Y39" s="328">
        <v>1.52</v>
      </c>
      <c r="Z39" s="610">
        <f t="shared" si="3"/>
        <v>91.462500000000006</v>
      </c>
    </row>
    <row r="40" spans="1:28" s="379" customFormat="1" ht="18" customHeight="1">
      <c r="A40" s="313">
        <v>31</v>
      </c>
      <c r="B40" s="314" t="s">
        <v>365</v>
      </c>
      <c r="C40" s="315" t="s">
        <v>179</v>
      </c>
      <c r="D40" s="315" t="s">
        <v>334</v>
      </c>
      <c r="E40" s="611">
        <v>731.7</v>
      </c>
      <c r="F40" s="599">
        <v>8048.7</v>
      </c>
      <c r="G40" s="613"/>
      <c r="H40" s="601"/>
      <c r="I40" s="601"/>
      <c r="J40" s="602">
        <f t="shared" si="0"/>
        <v>8048.7</v>
      </c>
      <c r="K40" s="602"/>
      <c r="L40" s="604"/>
      <c r="M40" s="604"/>
      <c r="N40" s="604">
        <v>760</v>
      </c>
      <c r="O40" s="604">
        <v>804.87</v>
      </c>
      <c r="P40" s="604">
        <v>200</v>
      </c>
      <c r="Q40" s="605"/>
      <c r="R40" s="606"/>
      <c r="S40" s="607">
        <f t="shared" si="1"/>
        <v>1764.87</v>
      </c>
      <c r="T40" s="599">
        <f t="shared" si="2"/>
        <v>6283.83</v>
      </c>
      <c r="U40" s="608" t="s">
        <v>25</v>
      </c>
      <c r="V40" s="327">
        <v>16097.4</v>
      </c>
      <c r="W40" s="609">
        <f>V40/2</f>
        <v>8048.7</v>
      </c>
      <c r="X40" s="373">
        <v>731.7</v>
      </c>
      <c r="Y40" s="328">
        <v>1.52</v>
      </c>
      <c r="Z40" s="610">
        <f t="shared" si="3"/>
        <v>91.462500000000006</v>
      </c>
    </row>
    <row r="41" spans="1:28" s="379" customFormat="1" ht="18" customHeight="1">
      <c r="A41" s="313">
        <v>32</v>
      </c>
      <c r="B41" s="314" t="s">
        <v>366</v>
      </c>
      <c r="C41" s="315" t="s">
        <v>179</v>
      </c>
      <c r="D41" s="315" t="s">
        <v>334</v>
      </c>
      <c r="E41" s="611">
        <v>731.7</v>
      </c>
      <c r="F41" s="599">
        <v>8048.7</v>
      </c>
      <c r="G41" s="613"/>
      <c r="H41" s="601"/>
      <c r="I41" s="601"/>
      <c r="J41" s="602">
        <f t="shared" si="0"/>
        <v>8048.7</v>
      </c>
      <c r="K41" s="603"/>
      <c r="L41" s="604">
        <v>241.1</v>
      </c>
      <c r="M41" s="604">
        <v>160.72999999999999</v>
      </c>
      <c r="N41" s="604">
        <v>760</v>
      </c>
      <c r="O41" s="604">
        <v>804.87</v>
      </c>
      <c r="P41" s="604">
        <v>200</v>
      </c>
      <c r="Q41" s="605"/>
      <c r="R41" s="606"/>
      <c r="S41" s="607">
        <f t="shared" si="1"/>
        <v>2166.6999999999998</v>
      </c>
      <c r="T41" s="599">
        <f t="shared" si="2"/>
        <v>5882</v>
      </c>
      <c r="U41" s="608"/>
      <c r="V41" s="327">
        <v>16097.4</v>
      </c>
      <c r="W41" s="609">
        <f>V41/2</f>
        <v>8048.7</v>
      </c>
      <c r="X41" s="373">
        <v>731.7</v>
      </c>
      <c r="Y41" s="328">
        <v>1.52</v>
      </c>
      <c r="Z41" s="610">
        <f t="shared" si="3"/>
        <v>91.462500000000006</v>
      </c>
    </row>
    <row r="42" spans="1:28" s="379" customFormat="1" ht="18" customHeight="1">
      <c r="A42" s="313">
        <v>33</v>
      </c>
      <c r="B42" s="314" t="s">
        <v>367</v>
      </c>
      <c r="C42" s="315" t="s">
        <v>179</v>
      </c>
      <c r="D42" s="315" t="s">
        <v>334</v>
      </c>
      <c r="E42" s="611">
        <v>731.7</v>
      </c>
      <c r="F42" s="599">
        <v>8048.7</v>
      </c>
      <c r="G42" s="613"/>
      <c r="H42" s="601"/>
      <c r="I42" s="601"/>
      <c r="J42" s="602">
        <f t="shared" si="0"/>
        <v>8048.7</v>
      </c>
      <c r="K42" s="602"/>
      <c r="L42" s="604"/>
      <c r="M42" s="604"/>
      <c r="N42" s="604">
        <v>760</v>
      </c>
      <c r="O42" s="604">
        <v>804.87</v>
      </c>
      <c r="P42" s="620" t="s">
        <v>284</v>
      </c>
      <c r="Q42" s="605"/>
      <c r="R42" s="606"/>
      <c r="S42" s="607">
        <f>K42+L42+M42+N42+O42+Q42+R42</f>
        <v>1564.87</v>
      </c>
      <c r="T42" s="599">
        <f t="shared" si="2"/>
        <v>6483.83</v>
      </c>
      <c r="U42" s="608" t="s">
        <v>25</v>
      </c>
      <c r="V42" s="327">
        <v>16097.4</v>
      </c>
      <c r="W42" s="609">
        <f t="shared" si="4"/>
        <v>8048.7</v>
      </c>
      <c r="X42" s="373">
        <v>731.7</v>
      </c>
      <c r="Y42" s="328">
        <v>1.52</v>
      </c>
      <c r="Z42" s="610">
        <f t="shared" si="3"/>
        <v>91.462500000000006</v>
      </c>
    </row>
    <row r="43" spans="1:28" s="379" customFormat="1" ht="18" customHeight="1">
      <c r="A43" s="313">
        <v>34</v>
      </c>
      <c r="B43" s="314" t="s">
        <v>368</v>
      </c>
      <c r="C43" s="315" t="s">
        <v>179</v>
      </c>
      <c r="D43" s="315" t="s">
        <v>334</v>
      </c>
      <c r="E43" s="611">
        <v>731.7</v>
      </c>
      <c r="F43" s="599">
        <v>8048.7</v>
      </c>
      <c r="G43" s="613"/>
      <c r="H43" s="601"/>
      <c r="I43" s="601"/>
      <c r="J43" s="602">
        <f t="shared" si="0"/>
        <v>8048.7</v>
      </c>
      <c r="K43" s="602"/>
      <c r="L43" s="604"/>
      <c r="M43" s="604"/>
      <c r="N43" s="604">
        <v>760</v>
      </c>
      <c r="O43" s="604">
        <v>804.87</v>
      </c>
      <c r="P43" s="604">
        <v>200</v>
      </c>
      <c r="Q43" s="605"/>
      <c r="R43" s="606"/>
      <c r="S43" s="607">
        <f t="shared" si="1"/>
        <v>1764.87</v>
      </c>
      <c r="T43" s="599">
        <f t="shared" si="2"/>
        <v>6283.83</v>
      </c>
      <c r="U43" s="608" t="s">
        <v>25</v>
      </c>
      <c r="V43" s="327">
        <v>16097.4</v>
      </c>
      <c r="W43" s="609">
        <f t="shared" si="4"/>
        <v>8048.7</v>
      </c>
      <c r="X43" s="373">
        <v>731.7</v>
      </c>
      <c r="Y43" s="328">
        <v>1.52</v>
      </c>
      <c r="Z43" s="610">
        <f t="shared" si="3"/>
        <v>91.462500000000006</v>
      </c>
    </row>
    <row r="44" spans="1:28" s="379" customFormat="1" ht="18" customHeight="1">
      <c r="A44" s="313">
        <v>35</v>
      </c>
      <c r="B44" s="314" t="s">
        <v>369</v>
      </c>
      <c r="C44" s="315" t="s">
        <v>179</v>
      </c>
      <c r="D44" s="315" t="s">
        <v>334</v>
      </c>
      <c r="E44" s="611">
        <v>731.7</v>
      </c>
      <c r="F44" s="599">
        <v>8048.7</v>
      </c>
      <c r="G44" s="613"/>
      <c r="H44" s="601"/>
      <c r="I44" s="601"/>
      <c r="J44" s="602">
        <f t="shared" si="0"/>
        <v>8048.7</v>
      </c>
      <c r="K44" s="602"/>
      <c r="L44" s="604"/>
      <c r="M44" s="604"/>
      <c r="N44" s="604">
        <v>760</v>
      </c>
      <c r="O44" s="604">
        <v>804.87</v>
      </c>
      <c r="P44" s="604">
        <v>200</v>
      </c>
      <c r="Q44" s="605"/>
      <c r="R44" s="606"/>
      <c r="S44" s="607">
        <f t="shared" si="1"/>
        <v>1764.87</v>
      </c>
      <c r="T44" s="599">
        <f t="shared" si="2"/>
        <v>6283.83</v>
      </c>
      <c r="U44" s="608" t="s">
        <v>25</v>
      </c>
      <c r="V44" s="327">
        <v>16097.4</v>
      </c>
      <c r="W44" s="609">
        <f>V44/2</f>
        <v>8048.7</v>
      </c>
      <c r="X44" s="373">
        <v>731.7</v>
      </c>
      <c r="Y44" s="328">
        <v>1.52</v>
      </c>
      <c r="Z44" s="610">
        <f t="shared" si="3"/>
        <v>91.462500000000006</v>
      </c>
    </row>
    <row r="45" spans="1:28" s="628" customFormat="1" ht="18" customHeight="1">
      <c r="A45" s="621"/>
      <c r="B45" s="622"/>
      <c r="C45" s="623"/>
      <c r="D45" s="623"/>
      <c r="E45" s="623"/>
      <c r="F45" s="623"/>
      <c r="G45" s="624"/>
      <c r="H45" s="625"/>
      <c r="I45" s="625"/>
      <c r="J45" s="626">
        <f>SUM(J10:J44)</f>
        <v>291993.90000000014</v>
      </c>
      <c r="K45" s="626">
        <f t="shared" ref="K45:R45" si="7">SUM(K10:K44)</f>
        <v>434.4</v>
      </c>
      <c r="L45" s="626">
        <f t="shared" si="7"/>
        <v>965.48</v>
      </c>
      <c r="M45" s="626">
        <f t="shared" si="7"/>
        <v>643.64</v>
      </c>
      <c r="N45" s="626">
        <f t="shared" si="7"/>
        <v>26905</v>
      </c>
      <c r="O45" s="626">
        <f>SUM(O10:O44)</f>
        <v>26784.789999999994</v>
      </c>
      <c r="P45" s="626">
        <f>SUM(P10:P44)</f>
        <v>6900</v>
      </c>
      <c r="Q45" s="626">
        <f t="shared" si="7"/>
        <v>0</v>
      </c>
      <c r="R45" s="626">
        <f t="shared" si="7"/>
        <v>2125</v>
      </c>
      <c r="S45" s="626">
        <f>SUM(S10:S44)</f>
        <v>64758.310000000027</v>
      </c>
      <c r="T45" s="626">
        <f>SUM(T10:T44)</f>
        <v>227235.58999999985</v>
      </c>
      <c r="U45" s="627"/>
      <c r="Y45" s="629"/>
    </row>
    <row r="46" spans="1:28" s="641" customFormat="1" ht="18.75" customHeight="1">
      <c r="A46" s="630" t="s">
        <v>312</v>
      </c>
      <c r="B46" s="520"/>
      <c r="C46" s="445"/>
      <c r="D46" s="445"/>
      <c r="E46" s="445"/>
      <c r="F46" s="445"/>
      <c r="G46" s="631"/>
      <c r="H46" s="632" t="s">
        <v>48</v>
      </c>
      <c r="I46" s="633"/>
      <c r="J46" s="633"/>
      <c r="K46" s="634"/>
      <c r="L46" s="635" t="s">
        <v>309</v>
      </c>
      <c r="M46" s="636" t="s">
        <v>310</v>
      </c>
      <c r="N46" s="637" t="s">
        <v>311</v>
      </c>
      <c r="O46" s="638"/>
      <c r="P46" s="638"/>
      <c r="Q46" s="638"/>
      <c r="R46" s="638"/>
      <c r="S46" s="455"/>
      <c r="T46" s="639">
        <f>T45</f>
        <v>227235.58999999985</v>
      </c>
      <c r="U46" s="640"/>
      <c r="X46" s="641" t="s">
        <v>68</v>
      </c>
      <c r="Y46" s="4"/>
    </row>
    <row r="47" spans="1:28" s="641" customFormat="1" ht="18.75" customHeight="1">
      <c r="A47" s="444"/>
      <c r="B47" s="330"/>
      <c r="C47" s="445"/>
      <c r="D47" s="445"/>
      <c r="E47" s="445"/>
      <c r="F47" s="445"/>
      <c r="G47" s="447"/>
      <c r="H47" s="642" t="s">
        <v>313</v>
      </c>
      <c r="I47" s="449" t="s">
        <v>314</v>
      </c>
      <c r="J47" s="449"/>
      <c r="K47" s="479"/>
      <c r="L47" s="643">
        <f>J45</f>
        <v>291993.90000000014</v>
      </c>
      <c r="M47" s="644"/>
      <c r="N47" s="645"/>
      <c r="O47" s="645"/>
      <c r="P47" s="645"/>
      <c r="Q47" s="419"/>
      <c r="R47" s="454"/>
      <c r="S47" s="455"/>
      <c r="T47" s="456"/>
      <c r="U47" s="457"/>
      <c r="Y47" s="4"/>
    </row>
    <row r="48" spans="1:28" s="641" customFormat="1" ht="18.75" customHeight="1">
      <c r="A48" s="444"/>
      <c r="B48" s="330"/>
      <c r="C48" s="445"/>
      <c r="D48" s="445"/>
      <c r="E48" s="445"/>
      <c r="F48" s="445"/>
      <c r="G48" s="447"/>
      <c r="H48" s="476" t="s">
        <v>140</v>
      </c>
      <c r="I48" s="477" t="s">
        <v>141</v>
      </c>
      <c r="J48" s="478"/>
      <c r="K48" s="479"/>
      <c r="L48" s="643"/>
      <c r="M48" s="644">
        <f>P45</f>
        <v>6900</v>
      </c>
      <c r="N48" s="645"/>
      <c r="O48" s="645"/>
      <c r="P48" s="645"/>
      <c r="Q48" s="419"/>
      <c r="R48" s="454"/>
      <c r="S48" s="455"/>
      <c r="T48" s="456"/>
      <c r="U48" s="457"/>
      <c r="Y48" s="4"/>
    </row>
    <row r="49" spans="1:25" s="641" customFormat="1" ht="18.75" customHeight="1">
      <c r="A49" s="444"/>
      <c r="B49" s="458"/>
      <c r="C49" s="459"/>
      <c r="D49" s="459"/>
      <c r="E49" s="459"/>
      <c r="F49" s="459"/>
      <c r="G49" s="447"/>
      <c r="H49" s="642" t="s">
        <v>54</v>
      </c>
      <c r="I49" s="646" t="s">
        <v>315</v>
      </c>
      <c r="J49" s="646"/>
      <c r="K49" s="479"/>
      <c r="L49" s="643"/>
      <c r="M49" s="644">
        <f>K45+L45+M45</f>
        <v>2043.52</v>
      </c>
      <c r="N49" s="647" t="s">
        <v>316</v>
      </c>
      <c r="O49" s="460"/>
      <c r="P49" s="460"/>
      <c r="Q49" s="460"/>
      <c r="R49" s="460"/>
      <c r="S49" s="460"/>
      <c r="T49" s="460"/>
      <c r="U49" s="461"/>
      <c r="X49" s="648"/>
      <c r="Y49" s="4"/>
    </row>
    <row r="50" spans="1:25" s="641" customFormat="1" ht="18.75" customHeight="1">
      <c r="A50" s="462" t="s">
        <v>317</v>
      </c>
      <c r="B50" s="463"/>
      <c r="C50" s="463"/>
      <c r="D50" s="463"/>
      <c r="E50" s="463"/>
      <c r="F50" s="463"/>
      <c r="G50" s="464"/>
      <c r="H50" s="642" t="s">
        <v>57</v>
      </c>
      <c r="I50" s="449" t="s">
        <v>370</v>
      </c>
      <c r="J50" s="449"/>
      <c r="K50" s="479"/>
      <c r="L50" s="643"/>
      <c r="M50" s="649">
        <f>N45</f>
        <v>26905</v>
      </c>
      <c r="N50" s="650" t="s">
        <v>62</v>
      </c>
      <c r="O50" s="466"/>
      <c r="P50" s="466"/>
      <c r="Q50" s="466"/>
      <c r="R50" s="466"/>
      <c r="S50" s="466"/>
      <c r="T50" s="466"/>
      <c r="U50" s="467"/>
      <c r="X50" s="651"/>
      <c r="Y50" s="4"/>
    </row>
    <row r="51" spans="1:25" s="641" customFormat="1" ht="18.75" customHeight="1">
      <c r="A51" s="468" t="s">
        <v>318</v>
      </c>
      <c r="B51" s="469"/>
      <c r="C51" s="469"/>
      <c r="D51" s="469"/>
      <c r="E51" s="469"/>
      <c r="F51" s="469"/>
      <c r="G51" s="470"/>
      <c r="H51" s="642" t="s">
        <v>57</v>
      </c>
      <c r="I51" s="449" t="s">
        <v>371</v>
      </c>
      <c r="J51" s="449"/>
      <c r="K51" s="479"/>
      <c r="L51" s="643"/>
      <c r="M51" s="649"/>
      <c r="N51" s="652"/>
      <c r="O51" s="652"/>
      <c r="P51" s="652"/>
      <c r="Q51" s="419"/>
      <c r="R51" s="459"/>
      <c r="S51" s="459"/>
      <c r="T51" s="471"/>
      <c r="U51" s="472"/>
      <c r="X51" s="651"/>
      <c r="Y51" s="4"/>
    </row>
    <row r="52" spans="1:25" s="641" customFormat="1" ht="18.75" hidden="1" customHeight="1">
      <c r="A52" s="417"/>
      <c r="B52" s="458"/>
      <c r="C52" s="311"/>
      <c r="D52" s="311"/>
      <c r="E52" s="311"/>
      <c r="F52" s="311"/>
      <c r="G52" s="447"/>
      <c r="H52" s="642" t="s">
        <v>57</v>
      </c>
      <c r="I52" s="449" t="s">
        <v>372</v>
      </c>
      <c r="J52" s="449"/>
      <c r="K52" s="653"/>
      <c r="L52" s="643"/>
      <c r="M52" s="649"/>
      <c r="N52" s="652"/>
      <c r="O52" s="652"/>
      <c r="P52" s="652"/>
      <c r="Q52" s="419"/>
      <c r="R52" s="459"/>
      <c r="S52" s="459"/>
      <c r="T52" s="471"/>
      <c r="U52" s="472"/>
      <c r="Y52" s="4"/>
    </row>
    <row r="53" spans="1:25" s="641" customFormat="1" ht="18.75" customHeight="1">
      <c r="A53" s="417"/>
      <c r="B53" s="458"/>
      <c r="C53" s="311"/>
      <c r="D53" s="311"/>
      <c r="E53" s="311"/>
      <c r="F53" s="311"/>
      <c r="G53" s="447"/>
      <c r="H53" s="476" t="s">
        <v>142</v>
      </c>
      <c r="I53" s="477" t="s">
        <v>143</v>
      </c>
      <c r="J53" s="478"/>
      <c r="K53" s="653"/>
      <c r="L53" s="643"/>
      <c r="M53" s="649">
        <f>O45</f>
        <v>26784.789999999994</v>
      </c>
      <c r="N53" s="652"/>
      <c r="O53" s="652"/>
      <c r="P53" s="652"/>
      <c r="Q53" s="419"/>
      <c r="R53" s="459"/>
      <c r="S53" s="459"/>
      <c r="T53" s="471"/>
      <c r="U53" s="472"/>
      <c r="Y53" s="4"/>
    </row>
    <row r="54" spans="1:25" s="641" customFormat="1" ht="18.75" customHeight="1">
      <c r="A54" s="417"/>
      <c r="B54" s="459"/>
      <c r="C54" s="311"/>
      <c r="D54" s="311"/>
      <c r="E54" s="311"/>
      <c r="F54" s="311"/>
      <c r="G54" s="447"/>
      <c r="H54" s="642" t="s">
        <v>57</v>
      </c>
      <c r="I54" s="449" t="s">
        <v>372</v>
      </c>
      <c r="J54" s="449"/>
      <c r="K54" s="479"/>
      <c r="L54" s="643"/>
      <c r="M54" s="649">
        <f>R45</f>
        <v>2125</v>
      </c>
      <c r="N54" s="652"/>
      <c r="O54" s="652" t="s">
        <v>373</v>
      </c>
      <c r="P54" s="652"/>
      <c r="Q54" s="419"/>
      <c r="R54" s="459"/>
      <c r="S54" s="459"/>
      <c r="T54" s="471"/>
      <c r="U54" s="472"/>
      <c r="Y54" s="4"/>
    </row>
    <row r="55" spans="1:25" s="641" customFormat="1" ht="18.75" customHeight="1">
      <c r="A55" s="417" t="s">
        <v>319</v>
      </c>
      <c r="B55" s="481"/>
      <c r="C55" s="311"/>
      <c r="D55" s="311"/>
      <c r="E55" s="311"/>
      <c r="F55" s="311"/>
      <c r="G55" s="447"/>
      <c r="H55" s="642" t="s">
        <v>66</v>
      </c>
      <c r="I55" s="482" t="s">
        <v>374</v>
      </c>
      <c r="J55" s="482"/>
      <c r="K55" s="653"/>
      <c r="L55" s="643"/>
      <c r="M55" s="649">
        <f>T45</f>
        <v>227235.58999999985</v>
      </c>
      <c r="N55" s="652"/>
      <c r="O55" s="652"/>
      <c r="P55" s="652"/>
      <c r="Q55" s="419"/>
      <c r="R55" s="459"/>
      <c r="S55" s="459"/>
      <c r="T55" s="471"/>
      <c r="U55" s="472"/>
      <c r="Y55" s="4"/>
    </row>
    <row r="56" spans="1:25" s="641" customFormat="1" ht="25.5" customHeight="1">
      <c r="A56" s="417"/>
      <c r="B56" s="459"/>
      <c r="C56" s="445"/>
      <c r="D56" s="445"/>
      <c r="E56" s="445"/>
      <c r="F56" s="445"/>
      <c r="G56" s="447"/>
      <c r="H56" s="448"/>
      <c r="I56" s="330"/>
      <c r="J56" s="487"/>
      <c r="K56" s="487"/>
      <c r="L56" s="643"/>
      <c r="M56" s="644"/>
      <c r="N56" s="645"/>
      <c r="O56" s="645"/>
      <c r="P56" s="645"/>
      <c r="Q56" s="488"/>
      <c r="R56" s="489"/>
      <c r="S56" s="490"/>
      <c r="T56" s="491"/>
      <c r="U56" s="423"/>
      <c r="Y56" s="4"/>
    </row>
    <row r="57" spans="1:25" s="641" customFormat="1" ht="18.75" customHeight="1">
      <c r="A57" s="492" t="s">
        <v>321</v>
      </c>
      <c r="B57" s="493"/>
      <c r="C57" s="493"/>
      <c r="D57" s="493"/>
      <c r="E57" s="493"/>
      <c r="F57" s="493"/>
      <c r="G57" s="494"/>
      <c r="H57" s="495"/>
      <c r="I57" s="496"/>
      <c r="J57" s="487"/>
      <c r="K57" s="487"/>
      <c r="L57" s="643"/>
      <c r="M57" s="644"/>
      <c r="N57" s="654" t="s">
        <v>375</v>
      </c>
      <c r="O57" s="497"/>
      <c r="P57" s="497"/>
      <c r="Q57" s="497"/>
      <c r="R57" s="497"/>
      <c r="S57" s="497"/>
      <c r="T57" s="497"/>
      <c r="U57" s="498"/>
      <c r="Y57" s="4"/>
    </row>
    <row r="58" spans="1:25" s="641" customFormat="1" ht="18.75" customHeight="1">
      <c r="A58" s="499" t="s">
        <v>323</v>
      </c>
      <c r="B58" s="500"/>
      <c r="C58" s="500"/>
      <c r="D58" s="500"/>
      <c r="E58" s="500"/>
      <c r="F58" s="500"/>
      <c r="G58" s="501"/>
      <c r="H58" s="495"/>
      <c r="I58" s="496"/>
      <c r="J58" s="487"/>
      <c r="K58" s="487"/>
      <c r="L58" s="643"/>
      <c r="M58" s="643"/>
      <c r="N58" s="654"/>
      <c r="O58" s="497"/>
      <c r="P58" s="497"/>
      <c r="Q58" s="497"/>
      <c r="R58" s="497"/>
      <c r="S58" s="497"/>
      <c r="T58" s="497"/>
      <c r="U58" s="498"/>
      <c r="Y58" s="4"/>
    </row>
    <row r="59" spans="1:25" s="641" customFormat="1" ht="18.75" customHeight="1">
      <c r="A59" s="502"/>
      <c r="B59" s="330"/>
      <c r="C59" s="311"/>
      <c r="D59" s="311"/>
      <c r="E59" s="311"/>
      <c r="F59" s="503"/>
      <c r="G59" s="503"/>
      <c r="H59" s="495"/>
      <c r="I59" s="496"/>
      <c r="J59" s="504"/>
      <c r="K59" s="504"/>
      <c r="L59" s="643"/>
      <c r="M59" s="643"/>
      <c r="N59" s="506"/>
      <c r="O59" s="506"/>
      <c r="P59" s="506"/>
      <c r="Q59" s="506"/>
      <c r="R59" s="506"/>
      <c r="S59" s="506"/>
      <c r="T59" s="506"/>
      <c r="U59" s="507"/>
      <c r="Y59" s="4"/>
    </row>
    <row r="60" spans="1:25" s="641" customFormat="1" ht="18.75" customHeight="1">
      <c r="A60" s="417" t="s">
        <v>324</v>
      </c>
      <c r="B60" s="471"/>
      <c r="C60" s="471"/>
      <c r="D60" s="471"/>
      <c r="E60" s="471"/>
      <c r="F60" s="508">
        <f>J45</f>
        <v>291993.90000000014</v>
      </c>
      <c r="G60" s="509"/>
      <c r="H60" s="496"/>
      <c r="I60" s="496"/>
      <c r="J60" s="487"/>
      <c r="K60" s="487"/>
      <c r="L60" s="643"/>
      <c r="M60" s="643"/>
      <c r="N60" s="506"/>
      <c r="O60" s="506"/>
      <c r="P60" s="506"/>
      <c r="Q60" s="506"/>
      <c r="R60" s="506"/>
      <c r="S60" s="506"/>
      <c r="T60" s="506"/>
      <c r="U60" s="507"/>
      <c r="Y60" s="4"/>
    </row>
    <row r="61" spans="1:25" s="641" customFormat="1" ht="18.75" customHeight="1">
      <c r="A61" s="417"/>
      <c r="B61" s="459"/>
      <c r="C61" s="481"/>
      <c r="D61" s="481"/>
      <c r="E61" s="481"/>
      <c r="F61" s="481"/>
      <c r="G61" s="447"/>
      <c r="H61" s="496"/>
      <c r="I61" s="496"/>
      <c r="J61" s="487"/>
      <c r="K61" s="487"/>
      <c r="L61" s="643"/>
      <c r="M61" s="644"/>
      <c r="N61" s="645"/>
      <c r="O61" s="645"/>
      <c r="P61" s="645"/>
      <c r="Q61" s="511"/>
      <c r="R61" s="456"/>
      <c r="S61" s="454"/>
      <c r="T61" s="311"/>
      <c r="U61" s="423"/>
      <c r="Y61" s="4"/>
    </row>
    <row r="62" spans="1:25" s="641" customFormat="1" ht="18.75" customHeight="1">
      <c r="A62" s="492" t="s">
        <v>75</v>
      </c>
      <c r="B62" s="493"/>
      <c r="C62" s="493"/>
      <c r="D62" s="493"/>
      <c r="E62" s="493"/>
      <c r="F62" s="493"/>
      <c r="G62" s="494"/>
      <c r="H62" s="496"/>
      <c r="I62" s="496"/>
      <c r="J62" s="471"/>
      <c r="K62" s="655"/>
      <c r="L62" s="643"/>
      <c r="M62" s="644"/>
      <c r="N62" s="645"/>
      <c r="O62" s="645"/>
      <c r="P62" s="645"/>
      <c r="Q62" s="488"/>
      <c r="R62" s="454"/>
      <c r="S62" s="455"/>
      <c r="T62" s="456"/>
      <c r="U62" s="656"/>
      <c r="Y62" s="4"/>
    </row>
    <row r="63" spans="1:25" s="641" customFormat="1" ht="18.75" customHeight="1">
      <c r="A63" s="499" t="s">
        <v>78</v>
      </c>
      <c r="B63" s="500"/>
      <c r="C63" s="500"/>
      <c r="D63" s="500"/>
      <c r="E63" s="500"/>
      <c r="F63" s="500"/>
      <c r="G63" s="501"/>
      <c r="H63" s="496"/>
      <c r="I63" s="496"/>
      <c r="J63" s="471"/>
      <c r="K63" s="655"/>
      <c r="L63" s="643"/>
      <c r="M63" s="644"/>
      <c r="N63" s="645"/>
      <c r="O63" s="645"/>
      <c r="P63" s="645"/>
      <c r="Q63" s="518" t="s">
        <v>73</v>
      </c>
      <c r="R63" s="518"/>
      <c r="S63" s="518"/>
      <c r="T63" s="518"/>
      <c r="U63" s="519"/>
      <c r="Y63" s="4"/>
    </row>
    <row r="64" spans="1:25" s="641" customFormat="1" ht="18.75" customHeight="1">
      <c r="A64" s="417"/>
      <c r="B64" s="520"/>
      <c r="C64" s="520"/>
      <c r="D64" s="521"/>
      <c r="E64" s="521"/>
      <c r="F64" s="379"/>
      <c r="G64" s="447"/>
      <c r="H64" s="496"/>
      <c r="I64" s="496"/>
      <c r="J64" s="471"/>
      <c r="K64" s="655"/>
      <c r="L64" s="643"/>
      <c r="M64" s="644"/>
      <c r="N64" s="645"/>
      <c r="O64" s="645"/>
      <c r="P64" s="645"/>
      <c r="Q64" s="523" t="s">
        <v>376</v>
      </c>
      <c r="R64" s="523"/>
      <c r="S64" s="523"/>
      <c r="T64" s="523"/>
      <c r="U64" s="524" t="s">
        <v>327</v>
      </c>
      <c r="Y64" s="4"/>
    </row>
    <row r="65" spans="1:25" s="641" customFormat="1" ht="18.75" customHeight="1" thickBot="1">
      <c r="A65" s="525"/>
      <c r="B65" s="526"/>
      <c r="C65" s="526"/>
      <c r="D65" s="527"/>
      <c r="E65" s="527"/>
      <c r="F65" s="529"/>
      <c r="G65" s="530"/>
      <c r="H65" s="531"/>
      <c r="I65" s="531"/>
      <c r="J65" s="532" t="s">
        <v>377</v>
      </c>
      <c r="K65" s="657"/>
      <c r="L65" s="658">
        <f>L47+L51</f>
        <v>291993.90000000014</v>
      </c>
      <c r="M65" s="659">
        <f>SUM(M47:M64)</f>
        <v>291993.89999999985</v>
      </c>
      <c r="N65" s="660"/>
      <c r="O65" s="660"/>
      <c r="P65" s="660"/>
      <c r="Q65" s="535"/>
      <c r="R65" s="536"/>
      <c r="S65" s="537"/>
      <c r="T65" s="538"/>
      <c r="U65" s="539"/>
      <c r="Y65" s="4"/>
    </row>
    <row r="66" spans="1:25">
      <c r="A66" s="540"/>
      <c r="M66" s="542">
        <f>L65-M65</f>
        <v>0</v>
      </c>
      <c r="U66" s="246"/>
    </row>
    <row r="67" spans="1:25">
      <c r="M67" s="545"/>
      <c r="N67" s="545"/>
      <c r="O67" s="545"/>
      <c r="P67" s="545"/>
    </row>
    <row r="68" spans="1:25">
      <c r="Q68" s="548"/>
    </row>
    <row r="69" spans="1:25">
      <c r="J69" s="549"/>
      <c r="K69" s="549"/>
    </row>
    <row r="70" spans="1:25">
      <c r="Q70" s="550"/>
      <c r="R70" s="550"/>
      <c r="S70" s="550"/>
      <c r="T70" s="550"/>
      <c r="U70" s="550"/>
    </row>
    <row r="71" spans="1:25">
      <c r="Q71" s="550"/>
      <c r="R71" s="550"/>
      <c r="S71" s="550"/>
      <c r="T71" s="550"/>
      <c r="U71" s="550"/>
    </row>
  </sheetData>
  <mergeCells count="53">
    <mergeCell ref="B65:C65"/>
    <mergeCell ref="Q70:U71"/>
    <mergeCell ref="F60:G60"/>
    <mergeCell ref="A62:G62"/>
    <mergeCell ref="A63:G63"/>
    <mergeCell ref="Q63:T63"/>
    <mergeCell ref="B64:C64"/>
    <mergeCell ref="Q64:T64"/>
    <mergeCell ref="I54:J54"/>
    <mergeCell ref="I55:J55"/>
    <mergeCell ref="A57:G57"/>
    <mergeCell ref="N57:U58"/>
    <mergeCell ref="A58:G58"/>
    <mergeCell ref="F59:G59"/>
    <mergeCell ref="A50:G50"/>
    <mergeCell ref="I50:J50"/>
    <mergeCell ref="N50:U50"/>
    <mergeCell ref="A51:G51"/>
    <mergeCell ref="I51:J51"/>
    <mergeCell ref="I52:J52"/>
    <mergeCell ref="A46:B46"/>
    <mergeCell ref="H46:J46"/>
    <mergeCell ref="N46:R46"/>
    <mergeCell ref="T46:U46"/>
    <mergeCell ref="I47:J47"/>
    <mergeCell ref="I49:J49"/>
    <mergeCell ref="N49:U49"/>
    <mergeCell ref="P6:P7"/>
    <mergeCell ref="Q6:Q9"/>
    <mergeCell ref="R6:R9"/>
    <mergeCell ref="S6:S9"/>
    <mergeCell ref="T6:T9"/>
    <mergeCell ref="V7:X7"/>
    <mergeCell ref="H5:H9"/>
    <mergeCell ref="I5:I9"/>
    <mergeCell ref="J5:J9"/>
    <mergeCell ref="K5:R5"/>
    <mergeCell ref="U5:U9"/>
    <mergeCell ref="K6:K9"/>
    <mergeCell ref="L6:L9"/>
    <mergeCell ref="M6:M9"/>
    <mergeCell ref="N6:N9"/>
    <mergeCell ref="O6:O9"/>
    <mergeCell ref="A1:U1"/>
    <mergeCell ref="A2:U2"/>
    <mergeCell ref="A3:U3"/>
    <mergeCell ref="A5:A9"/>
    <mergeCell ref="B5:B8"/>
    <mergeCell ref="C5:C9"/>
    <mergeCell ref="D5:D9"/>
    <mergeCell ref="E5:E9"/>
    <mergeCell ref="F5:F9"/>
    <mergeCell ref="G5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D075-461A-45E3-87A1-080EDB86E229}">
  <dimension ref="A1:Y44"/>
  <sheetViews>
    <sheetView workbookViewId="0">
      <selection activeCell="M17" sqref="M17"/>
    </sheetView>
  </sheetViews>
  <sheetFormatPr defaultRowHeight="15"/>
  <cols>
    <col min="1" max="1" width="3.85546875" customWidth="1"/>
    <col min="2" max="2" width="25.42578125" style="541" customWidth="1"/>
    <col min="3" max="3" width="11.7109375" customWidth="1"/>
    <col min="4" max="4" width="32.7109375" customWidth="1"/>
    <col min="5" max="5" width="9.7109375" customWidth="1"/>
    <col min="6" max="6" width="10.5703125" customWidth="1"/>
    <col min="7" max="7" width="8.5703125" style="239" customWidth="1"/>
    <col min="8" max="8" width="11.140625" style="240" customWidth="1"/>
    <col min="9" max="9" width="9.42578125" style="240" hidden="1" customWidth="1"/>
    <col min="10" max="10" width="21.5703125" style="241" customWidth="1"/>
    <col min="11" max="11" width="10.42578125" style="241" customWidth="1"/>
    <col min="12" max="12" width="10.140625" customWidth="1"/>
    <col min="13" max="13" width="9.5703125" customWidth="1"/>
    <col min="14" max="14" width="9.85546875" customWidth="1"/>
    <col min="15" max="15" width="12" hidden="1" customWidth="1"/>
    <col min="16" max="16" width="12.140625" style="544" customWidth="1"/>
    <col min="17" max="17" width="9.5703125" style="544" customWidth="1"/>
    <col min="18" max="18" width="8.28515625" style="239" customWidth="1"/>
    <col min="19" max="19" width="11.5703125" style="244" customWidth="1"/>
    <col min="20" max="20" width="14.42578125" style="245" customWidth="1"/>
    <col min="21" max="21" width="16.5703125" style="547" customWidth="1"/>
    <col min="22" max="22" width="11" customWidth="1"/>
    <col min="23" max="23" width="12.140625" customWidth="1"/>
    <col min="24" max="24" width="10.5703125" style="4" customWidth="1"/>
  </cols>
  <sheetData>
    <row r="1" spans="1:25" ht="21.75" customHeight="1">
      <c r="A1" s="225" t="s">
        <v>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7"/>
    </row>
    <row r="2" spans="1:25" ht="15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1"/>
    </row>
    <row r="3" spans="1:25" ht="15.75" customHeight="1">
      <c r="A3" s="232" t="s">
        <v>165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4"/>
    </row>
    <row r="4" spans="1:25" ht="15.75" thickBot="1">
      <c r="A4" s="661" t="s">
        <v>3</v>
      </c>
      <c r="B4" s="662"/>
      <c r="C4" s="663"/>
      <c r="D4" s="663"/>
      <c r="E4" s="663"/>
      <c r="F4" s="663"/>
      <c r="G4" s="664"/>
      <c r="H4" s="665"/>
      <c r="I4" s="665"/>
      <c r="J4" s="666"/>
      <c r="K4" s="666"/>
      <c r="L4" s="667"/>
      <c r="M4" s="667"/>
      <c r="N4" s="667"/>
      <c r="O4" s="667"/>
      <c r="P4" s="668"/>
      <c r="Q4" s="668"/>
      <c r="R4" s="664"/>
      <c r="S4" s="669"/>
      <c r="T4" s="670"/>
      <c r="U4" s="671"/>
    </row>
    <row r="5" spans="1:25" ht="12.75" customHeight="1">
      <c r="A5" s="672" t="s">
        <v>166</v>
      </c>
      <c r="B5" s="673"/>
      <c r="C5" s="674" t="s">
        <v>7</v>
      </c>
      <c r="D5" s="674" t="s">
        <v>378</v>
      </c>
      <c r="E5" s="674" t="s">
        <v>10</v>
      </c>
      <c r="F5" s="675" t="s">
        <v>168</v>
      </c>
      <c r="G5" s="676" t="s">
        <v>169</v>
      </c>
      <c r="H5" s="676" t="s">
        <v>170</v>
      </c>
      <c r="I5" s="676" t="s">
        <v>12</v>
      </c>
      <c r="J5" s="677" t="s">
        <v>13</v>
      </c>
      <c r="K5" s="678" t="s">
        <v>329</v>
      </c>
      <c r="L5" s="679"/>
      <c r="M5" s="679"/>
      <c r="N5" s="679"/>
      <c r="O5" s="679"/>
      <c r="P5" s="679"/>
      <c r="Q5" s="679"/>
      <c r="R5" s="680"/>
      <c r="S5" s="681"/>
      <c r="T5" s="682" t="s">
        <v>68</v>
      </c>
      <c r="U5" s="683" t="s">
        <v>21</v>
      </c>
      <c r="Y5" t="s">
        <v>68</v>
      </c>
    </row>
    <row r="6" spans="1:25" ht="12" customHeight="1">
      <c r="A6" s="684"/>
      <c r="B6" s="685"/>
      <c r="C6" s="686"/>
      <c r="D6" s="686"/>
      <c r="E6" s="686"/>
      <c r="F6" s="687"/>
      <c r="G6" s="688"/>
      <c r="H6" s="688"/>
      <c r="I6" s="688"/>
      <c r="J6" s="689"/>
      <c r="K6" s="690" t="s">
        <v>330</v>
      </c>
      <c r="L6" s="691" t="s">
        <v>331</v>
      </c>
      <c r="M6" s="691" t="s">
        <v>332</v>
      </c>
      <c r="N6" s="691" t="s">
        <v>15</v>
      </c>
      <c r="O6" s="692" t="s">
        <v>80</v>
      </c>
      <c r="P6" s="693" t="s">
        <v>133</v>
      </c>
      <c r="Q6" s="693" t="s">
        <v>134</v>
      </c>
      <c r="R6" s="693" t="s">
        <v>14</v>
      </c>
      <c r="S6" s="691" t="s">
        <v>175</v>
      </c>
      <c r="T6" s="694" t="s">
        <v>20</v>
      </c>
      <c r="U6" s="695"/>
    </row>
    <row r="7" spans="1:25" ht="18" customHeight="1">
      <c r="A7" s="684"/>
      <c r="B7" s="696" t="s">
        <v>176</v>
      </c>
      <c r="C7" s="686"/>
      <c r="D7" s="686"/>
      <c r="E7" s="686"/>
      <c r="F7" s="687"/>
      <c r="G7" s="688"/>
      <c r="H7" s="688"/>
      <c r="I7" s="688"/>
      <c r="J7" s="689"/>
      <c r="K7" s="690"/>
      <c r="L7" s="697"/>
      <c r="M7" s="697"/>
      <c r="N7" s="697"/>
      <c r="O7" s="698"/>
      <c r="P7" s="699"/>
      <c r="Q7" s="699"/>
      <c r="R7" s="699"/>
      <c r="S7" s="697"/>
      <c r="T7" s="689"/>
      <c r="U7" s="695"/>
      <c r="V7" s="588"/>
      <c r="W7" s="588"/>
    </row>
    <row r="8" spans="1:25" ht="10.5" customHeight="1">
      <c r="A8" s="684"/>
      <c r="B8" s="696"/>
      <c r="C8" s="686"/>
      <c r="D8" s="686"/>
      <c r="E8" s="686"/>
      <c r="F8" s="687"/>
      <c r="G8" s="688"/>
      <c r="H8" s="688"/>
      <c r="I8" s="688"/>
      <c r="J8" s="689"/>
      <c r="K8" s="690"/>
      <c r="L8" s="697"/>
      <c r="M8" s="697"/>
      <c r="N8" s="697"/>
      <c r="O8" s="698"/>
      <c r="P8" s="699"/>
      <c r="Q8" s="699"/>
      <c r="R8" s="699"/>
      <c r="S8" s="697"/>
      <c r="T8" s="689"/>
      <c r="U8" s="695"/>
    </row>
    <row r="9" spans="1:25" ht="15.75" customHeight="1">
      <c r="A9" s="700"/>
      <c r="B9" s="701"/>
      <c r="C9" s="702"/>
      <c r="D9" s="702"/>
      <c r="E9" s="702"/>
      <c r="F9" s="703"/>
      <c r="G9" s="704"/>
      <c r="H9" s="704"/>
      <c r="I9" s="704"/>
      <c r="J9" s="705"/>
      <c r="K9" s="690"/>
      <c r="L9" s="706"/>
      <c r="M9" s="706"/>
      <c r="N9" s="706"/>
      <c r="O9" s="707"/>
      <c r="P9" s="708"/>
      <c r="Q9" s="708"/>
      <c r="R9" s="708"/>
      <c r="S9" s="706"/>
      <c r="T9" s="705"/>
      <c r="U9" s="709"/>
    </row>
    <row r="10" spans="1:25" s="379" customFormat="1" ht="22.5">
      <c r="A10" s="313">
        <v>1</v>
      </c>
      <c r="B10" s="314" t="s">
        <v>379</v>
      </c>
      <c r="C10" s="315" t="s">
        <v>179</v>
      </c>
      <c r="D10" s="710" t="s">
        <v>380</v>
      </c>
      <c r="E10" s="386">
        <v>841.65</v>
      </c>
      <c r="F10" s="318">
        <v>9258.15</v>
      </c>
      <c r="G10" s="386"/>
      <c r="H10" s="386"/>
      <c r="I10" s="386"/>
      <c r="J10" s="320">
        <f>F10-G10</f>
        <v>9258.15</v>
      </c>
      <c r="K10" s="331"/>
      <c r="L10" s="387"/>
      <c r="M10" s="387"/>
      <c r="N10" s="387">
        <v>760</v>
      </c>
      <c r="O10" s="387"/>
      <c r="P10" s="711"/>
      <c r="Q10" s="323">
        <v>200</v>
      </c>
      <c r="R10" s="712"/>
      <c r="S10" s="713">
        <f>K10+L10+M10+N10+O10+P10+Q10+R10</f>
        <v>960</v>
      </c>
      <c r="T10" s="325">
        <f>J10-S10</f>
        <v>8298.15</v>
      </c>
      <c r="U10" s="714" t="s">
        <v>25</v>
      </c>
      <c r="V10" s="609">
        <v>18516.3</v>
      </c>
      <c r="W10" s="373">
        <v>9258.15</v>
      </c>
      <c r="X10" s="328">
        <v>841.65</v>
      </c>
      <c r="Y10" s="610">
        <v>1.75</v>
      </c>
    </row>
    <row r="11" spans="1:25" s="379" customFormat="1" ht="22.5">
      <c r="A11" s="313">
        <v>2</v>
      </c>
      <c r="B11" s="314" t="s">
        <v>381</v>
      </c>
      <c r="C11" s="315" t="s">
        <v>179</v>
      </c>
      <c r="D11" s="710" t="s">
        <v>380</v>
      </c>
      <c r="E11" s="384">
        <v>1072.4000000000001</v>
      </c>
      <c r="F11" s="318">
        <v>11796.4</v>
      </c>
      <c r="G11" s="715"/>
      <c r="H11" s="386"/>
      <c r="I11" s="386"/>
      <c r="J11" s="320">
        <f t="shared" ref="J11:J17" si="0">F11-G11</f>
        <v>11796.4</v>
      </c>
      <c r="K11" s="331">
        <v>137.97</v>
      </c>
      <c r="L11" s="387"/>
      <c r="M11" s="387"/>
      <c r="N11" s="387">
        <v>760</v>
      </c>
      <c r="O11" s="387"/>
      <c r="P11" s="323">
        <v>1179.6400000000001</v>
      </c>
      <c r="Q11" s="323">
        <v>200</v>
      </c>
      <c r="R11" s="712"/>
      <c r="S11" s="713">
        <f t="shared" ref="S11:S17" si="1">K11+L11+M11+N11+O11+P11+Q11+R11</f>
        <v>2277.61</v>
      </c>
      <c r="T11" s="325">
        <f t="shared" ref="T11:T17" si="2">J11-S11</f>
        <v>9518.7899999999991</v>
      </c>
      <c r="U11" s="714" t="s">
        <v>25</v>
      </c>
      <c r="V11" s="609">
        <v>23592.799999999999</v>
      </c>
      <c r="W11" s="373">
        <f>V11/2</f>
        <v>11796.4</v>
      </c>
      <c r="X11" s="328">
        <v>1072.4000000000001</v>
      </c>
      <c r="Y11" s="610">
        <v>2.23</v>
      </c>
    </row>
    <row r="12" spans="1:25" s="379" customFormat="1" ht="16.5">
      <c r="A12" s="313">
        <v>3</v>
      </c>
      <c r="B12" s="314" t="s">
        <v>382</v>
      </c>
      <c r="C12" s="315" t="s">
        <v>179</v>
      </c>
      <c r="D12" s="710" t="s">
        <v>383</v>
      </c>
      <c r="E12" s="384">
        <v>1072.4000000000001</v>
      </c>
      <c r="F12" s="318">
        <v>11796.4</v>
      </c>
      <c r="G12" s="386"/>
      <c r="H12" s="386"/>
      <c r="I12" s="386"/>
      <c r="J12" s="320">
        <f t="shared" si="0"/>
        <v>11796.4</v>
      </c>
      <c r="K12" s="331">
        <v>137.97</v>
      </c>
      <c r="L12" s="387"/>
      <c r="M12" s="387"/>
      <c r="N12" s="387">
        <v>1060</v>
      </c>
      <c r="O12" s="387"/>
      <c r="P12" s="323">
        <v>1179.6400000000001</v>
      </c>
      <c r="Q12" s="323">
        <v>200</v>
      </c>
      <c r="R12" s="712"/>
      <c r="S12" s="713">
        <f t="shared" si="1"/>
        <v>2577.61</v>
      </c>
      <c r="T12" s="325">
        <f t="shared" si="2"/>
        <v>9218.7899999999991</v>
      </c>
      <c r="U12" s="714" t="s">
        <v>25</v>
      </c>
      <c r="V12" s="609">
        <v>23592.799999999999</v>
      </c>
      <c r="W12" s="373">
        <f>V12/2</f>
        <v>11796.4</v>
      </c>
      <c r="X12" s="328">
        <v>1072.4000000000001</v>
      </c>
      <c r="Y12" s="610">
        <v>2.23</v>
      </c>
    </row>
    <row r="13" spans="1:25" s="379" customFormat="1" ht="16.5">
      <c r="A13" s="313">
        <v>4</v>
      </c>
      <c r="B13" s="314" t="s">
        <v>384</v>
      </c>
      <c r="C13" s="315" t="s">
        <v>179</v>
      </c>
      <c r="D13" s="710" t="s">
        <v>385</v>
      </c>
      <c r="E13" s="384">
        <v>1277.94</v>
      </c>
      <c r="F13" s="318">
        <v>14057.3</v>
      </c>
      <c r="G13" s="385"/>
      <c r="H13" s="386"/>
      <c r="I13" s="386"/>
      <c r="J13" s="320">
        <f t="shared" si="0"/>
        <v>14057.3</v>
      </c>
      <c r="K13" s="331">
        <v>364.06</v>
      </c>
      <c r="L13" s="387"/>
      <c r="M13" s="387"/>
      <c r="N13" s="387">
        <v>750</v>
      </c>
      <c r="O13" s="387"/>
      <c r="P13" s="323">
        <v>1405.73</v>
      </c>
      <c r="Q13" s="323">
        <v>200</v>
      </c>
      <c r="R13" s="319">
        <v>130</v>
      </c>
      <c r="S13" s="713">
        <f t="shared" si="1"/>
        <v>2849.79</v>
      </c>
      <c r="T13" s="325">
        <f t="shared" si="2"/>
        <v>11207.509999999998</v>
      </c>
      <c r="U13" s="714" t="s">
        <v>25</v>
      </c>
      <c r="V13" s="609">
        <v>28114.6</v>
      </c>
      <c r="W13" s="373">
        <f>V13/2</f>
        <v>14057.3</v>
      </c>
      <c r="X13" s="328">
        <v>1277.94</v>
      </c>
      <c r="Y13" s="610">
        <v>2.66</v>
      </c>
    </row>
    <row r="14" spans="1:25" s="379" customFormat="1" ht="16.5">
      <c r="A14" s="313">
        <v>5</v>
      </c>
      <c r="B14" s="314" t="s">
        <v>386</v>
      </c>
      <c r="C14" s="315" t="s">
        <v>179</v>
      </c>
      <c r="D14" s="710" t="s">
        <v>383</v>
      </c>
      <c r="E14" s="716">
        <v>1277.94</v>
      </c>
      <c r="F14" s="318">
        <v>14057.3</v>
      </c>
      <c r="G14" s="385"/>
      <c r="H14" s="386"/>
      <c r="I14" s="386"/>
      <c r="J14" s="320">
        <f t="shared" si="0"/>
        <v>14057.3</v>
      </c>
      <c r="K14" s="331">
        <v>364.06</v>
      </c>
      <c r="L14" s="387"/>
      <c r="M14" s="387"/>
      <c r="N14" s="387">
        <v>750</v>
      </c>
      <c r="O14" s="387"/>
      <c r="P14" s="323">
        <v>1405.73</v>
      </c>
      <c r="Q14" s="323">
        <v>200</v>
      </c>
      <c r="R14" s="717">
        <v>657.5</v>
      </c>
      <c r="S14" s="713">
        <f>K14+L14+M14+N14+O14+P14+Q14+R14</f>
        <v>3377.29</v>
      </c>
      <c r="T14" s="325">
        <f t="shared" si="2"/>
        <v>10680.009999999998</v>
      </c>
      <c r="U14" s="714" t="s">
        <v>25</v>
      </c>
      <c r="V14" s="609">
        <v>28114.6</v>
      </c>
      <c r="W14" s="373">
        <f>V14/2</f>
        <v>14057.3</v>
      </c>
      <c r="X14" s="328">
        <v>1277.94</v>
      </c>
      <c r="Y14" s="610">
        <v>2.66</v>
      </c>
    </row>
    <row r="15" spans="1:25" s="379" customFormat="1" ht="16.5">
      <c r="A15" s="313">
        <v>6</v>
      </c>
      <c r="B15" s="314" t="s">
        <v>387</v>
      </c>
      <c r="C15" s="315" t="s">
        <v>179</v>
      </c>
      <c r="D15" s="710" t="s">
        <v>385</v>
      </c>
      <c r="E15" s="716">
        <v>746.25</v>
      </c>
      <c r="F15" s="426">
        <v>8208.75</v>
      </c>
      <c r="G15" s="385"/>
      <c r="H15" s="386"/>
      <c r="I15" s="386"/>
      <c r="J15" s="320">
        <f t="shared" si="0"/>
        <v>8208.75</v>
      </c>
      <c r="K15" s="331"/>
      <c r="L15" s="387"/>
      <c r="M15" s="387"/>
      <c r="N15" s="387">
        <v>760</v>
      </c>
      <c r="O15" s="387"/>
      <c r="P15" s="323">
        <v>820.88</v>
      </c>
      <c r="Q15" s="323">
        <v>200</v>
      </c>
      <c r="R15" s="712"/>
      <c r="S15" s="713">
        <f t="shared" si="1"/>
        <v>1780.88</v>
      </c>
      <c r="T15" s="325">
        <f t="shared" si="2"/>
        <v>6427.87</v>
      </c>
      <c r="U15" s="714" t="s">
        <v>25</v>
      </c>
      <c r="V15" s="609">
        <v>16417.5</v>
      </c>
      <c r="W15" s="373">
        <v>8208.75</v>
      </c>
      <c r="X15" s="328">
        <v>748.25</v>
      </c>
      <c r="Y15" s="610">
        <v>1.56</v>
      </c>
    </row>
    <row r="16" spans="1:25" s="379" customFormat="1" ht="16.5">
      <c r="A16" s="313">
        <v>7</v>
      </c>
      <c r="B16" s="314" t="s">
        <v>388</v>
      </c>
      <c r="C16" s="315" t="s">
        <v>179</v>
      </c>
      <c r="D16" s="710" t="s">
        <v>385</v>
      </c>
      <c r="E16" s="716">
        <v>746.25</v>
      </c>
      <c r="F16" s="426">
        <v>8208.75</v>
      </c>
      <c r="G16" s="385"/>
      <c r="H16" s="716"/>
      <c r="I16" s="386"/>
      <c r="J16" s="320">
        <f t="shared" si="0"/>
        <v>8208.75</v>
      </c>
      <c r="K16" s="331"/>
      <c r="L16" s="387"/>
      <c r="M16" s="387"/>
      <c r="N16" s="387">
        <v>750</v>
      </c>
      <c r="O16" s="387"/>
      <c r="P16" s="323">
        <v>820.88</v>
      </c>
      <c r="Q16" s="323">
        <v>200</v>
      </c>
      <c r="R16" s="712"/>
      <c r="S16" s="713">
        <f t="shared" si="1"/>
        <v>1770.88</v>
      </c>
      <c r="T16" s="325">
        <f t="shared" si="2"/>
        <v>6437.87</v>
      </c>
      <c r="U16" s="714" t="s">
        <v>25</v>
      </c>
      <c r="V16" s="609">
        <v>16417.5</v>
      </c>
      <c r="W16" s="373">
        <v>8208.75</v>
      </c>
      <c r="X16" s="328">
        <v>748.25</v>
      </c>
      <c r="Y16" s="610">
        <v>1.56</v>
      </c>
    </row>
    <row r="17" spans="1:25" s="379" customFormat="1" ht="22.5">
      <c r="A17" s="313">
        <v>8</v>
      </c>
      <c r="B17" s="314" t="s">
        <v>389</v>
      </c>
      <c r="C17" s="315" t="s">
        <v>179</v>
      </c>
      <c r="D17" s="710" t="s">
        <v>380</v>
      </c>
      <c r="E17" s="716">
        <v>1277.94</v>
      </c>
      <c r="F17" s="318">
        <v>14057.3</v>
      </c>
      <c r="G17" s="385"/>
      <c r="H17" s="386"/>
      <c r="I17" s="386"/>
      <c r="J17" s="320">
        <f t="shared" si="0"/>
        <v>14057.3</v>
      </c>
      <c r="K17" s="331">
        <v>364.04</v>
      </c>
      <c r="L17" s="387"/>
      <c r="M17" s="387"/>
      <c r="N17" s="387">
        <v>1060</v>
      </c>
      <c r="O17" s="387"/>
      <c r="P17" s="323">
        <v>1405.73</v>
      </c>
      <c r="Q17" s="323">
        <v>200</v>
      </c>
      <c r="R17" s="712"/>
      <c r="S17" s="713">
        <f t="shared" si="1"/>
        <v>3029.77</v>
      </c>
      <c r="T17" s="325">
        <f t="shared" si="2"/>
        <v>11027.529999999999</v>
      </c>
      <c r="U17" s="714" t="s">
        <v>25</v>
      </c>
      <c r="V17" s="609">
        <v>28114.6</v>
      </c>
      <c r="W17" s="373">
        <f>V17/2</f>
        <v>14057.3</v>
      </c>
      <c r="X17" s="328">
        <v>1277.94</v>
      </c>
      <c r="Y17" s="610">
        <v>2.66</v>
      </c>
    </row>
    <row r="18" spans="1:25" s="311" customFormat="1" ht="15.75" thickBot="1">
      <c r="A18" s="718"/>
      <c r="B18" s="719"/>
      <c r="C18" s="720"/>
      <c r="D18" s="720"/>
      <c r="E18" s="720"/>
      <c r="F18" s="720"/>
      <c r="G18" s="721"/>
      <c r="H18" s="722"/>
      <c r="I18" s="722"/>
      <c r="J18" s="723">
        <f>SUM(J10:J17)</f>
        <v>91440.35</v>
      </c>
      <c r="K18" s="723">
        <f>SUM(K10:K17)</f>
        <v>1368.1</v>
      </c>
      <c r="L18" s="723">
        <f t="shared" ref="L18:T18" si="3">SUM(L10:L17)</f>
        <v>0</v>
      </c>
      <c r="M18" s="723">
        <f t="shared" si="3"/>
        <v>0</v>
      </c>
      <c r="N18" s="723">
        <f t="shared" si="3"/>
        <v>6650</v>
      </c>
      <c r="O18" s="723">
        <f t="shared" si="3"/>
        <v>0</v>
      </c>
      <c r="P18" s="723">
        <f t="shared" si="3"/>
        <v>8218.23</v>
      </c>
      <c r="Q18" s="723">
        <f t="shared" si="3"/>
        <v>1600</v>
      </c>
      <c r="R18" s="723">
        <f t="shared" si="3"/>
        <v>787.5</v>
      </c>
      <c r="S18" s="723">
        <f t="shared" si="3"/>
        <v>18623.830000000002</v>
      </c>
      <c r="T18" s="723">
        <f t="shared" si="3"/>
        <v>72816.51999999999</v>
      </c>
      <c r="U18" s="724"/>
      <c r="X18" s="4"/>
    </row>
    <row r="19" spans="1:25" s="641" customFormat="1" ht="13.5" thickTop="1">
      <c r="A19" s="725" t="s">
        <v>312</v>
      </c>
      <c r="B19" s="726"/>
      <c r="C19" s="727"/>
      <c r="D19" s="727"/>
      <c r="E19" s="727"/>
      <c r="F19" s="727"/>
      <c r="G19" s="728"/>
      <c r="H19" s="729" t="s">
        <v>48</v>
      </c>
      <c r="I19" s="730"/>
      <c r="J19" s="730"/>
      <c r="K19" s="731"/>
      <c r="L19" s="732" t="s">
        <v>309</v>
      </c>
      <c r="M19" s="733" t="s">
        <v>310</v>
      </c>
      <c r="N19" s="734" t="s">
        <v>311</v>
      </c>
      <c r="O19" s="735"/>
      <c r="P19" s="735"/>
      <c r="Q19" s="735"/>
      <c r="R19" s="735"/>
      <c r="S19" s="735"/>
      <c r="T19" s="442">
        <f>T18</f>
        <v>72816.51999999999</v>
      </c>
      <c r="U19" s="443"/>
      <c r="W19" s="641" t="s">
        <v>68</v>
      </c>
      <c r="X19" s="4"/>
    </row>
    <row r="20" spans="1:25" s="641" customFormat="1" ht="12.75">
      <c r="A20" s="736"/>
      <c r="B20" s="737"/>
      <c r="C20" s="727"/>
      <c r="D20" s="727"/>
      <c r="E20" s="727"/>
      <c r="F20" s="727"/>
      <c r="G20" s="738"/>
      <c r="H20" s="739" t="s">
        <v>313</v>
      </c>
      <c r="I20" s="740" t="s">
        <v>314</v>
      </c>
      <c r="J20" s="740"/>
      <c r="K20" s="741"/>
      <c r="L20" s="742">
        <f>J18</f>
        <v>91440.35</v>
      </c>
      <c r="M20" s="743"/>
      <c r="N20" s="744"/>
      <c r="O20" s="744"/>
      <c r="P20" s="745"/>
      <c r="Q20" s="745"/>
      <c r="R20" s="746"/>
      <c r="S20" s="747"/>
      <c r="T20" s="748"/>
      <c r="U20" s="749"/>
      <c r="X20" s="4"/>
    </row>
    <row r="21" spans="1:25" s="641" customFormat="1" ht="12.75">
      <c r="A21" s="736"/>
      <c r="B21" s="750"/>
      <c r="C21" s="751"/>
      <c r="D21" s="751"/>
      <c r="E21" s="751"/>
      <c r="F21" s="751"/>
      <c r="G21" s="738"/>
      <c r="H21" s="739" t="s">
        <v>54</v>
      </c>
      <c r="I21" s="740" t="s">
        <v>315</v>
      </c>
      <c r="J21" s="740"/>
      <c r="K21" s="741"/>
      <c r="L21" s="742"/>
      <c r="M21" s="743">
        <f>K18</f>
        <v>1368.1</v>
      </c>
      <c r="N21" s="752" t="s">
        <v>316</v>
      </c>
      <c r="O21" s="753"/>
      <c r="P21" s="753"/>
      <c r="Q21" s="753"/>
      <c r="R21" s="753"/>
      <c r="S21" s="753"/>
      <c r="T21" s="753"/>
      <c r="U21" s="754"/>
      <c r="V21" s="651"/>
      <c r="W21" s="648"/>
      <c r="X21" s="4"/>
    </row>
    <row r="22" spans="1:25" s="641" customFormat="1" ht="12.75">
      <c r="A22" s="755" t="s">
        <v>317</v>
      </c>
      <c r="B22" s="756"/>
      <c r="C22" s="756"/>
      <c r="D22" s="756"/>
      <c r="E22" s="756"/>
      <c r="F22" s="756"/>
      <c r="G22" s="757"/>
      <c r="H22" s="739" t="s">
        <v>57</v>
      </c>
      <c r="I22" s="740" t="s">
        <v>370</v>
      </c>
      <c r="J22" s="740"/>
      <c r="K22" s="741"/>
      <c r="L22" s="742"/>
      <c r="M22" s="758">
        <f>N18</f>
        <v>6650</v>
      </c>
      <c r="N22" s="759" t="s">
        <v>62</v>
      </c>
      <c r="O22" s="760"/>
      <c r="P22" s="760"/>
      <c r="Q22" s="760"/>
      <c r="R22" s="760"/>
      <c r="S22" s="760"/>
      <c r="T22" s="760"/>
      <c r="U22" s="761"/>
      <c r="W22" s="651"/>
      <c r="X22" s="4"/>
    </row>
    <row r="23" spans="1:25" s="641" customFormat="1" ht="12.75">
      <c r="A23" s="762" t="s">
        <v>318</v>
      </c>
      <c r="B23" s="763"/>
      <c r="C23" s="763"/>
      <c r="D23" s="763"/>
      <c r="E23" s="763"/>
      <c r="F23" s="763"/>
      <c r="G23" s="764"/>
      <c r="H23" s="739" t="s">
        <v>57</v>
      </c>
      <c r="I23" s="740" t="s">
        <v>371</v>
      </c>
      <c r="J23" s="740"/>
      <c r="K23" s="741"/>
      <c r="L23" s="742"/>
      <c r="M23" s="758">
        <f>O18</f>
        <v>0</v>
      </c>
      <c r="N23" s="765"/>
      <c r="O23" s="765"/>
      <c r="P23" s="745"/>
      <c r="Q23" s="745"/>
      <c r="R23" s="751"/>
      <c r="S23" s="751"/>
      <c r="T23" s="766"/>
      <c r="U23" s="767"/>
      <c r="W23" s="651"/>
      <c r="X23" s="4"/>
    </row>
    <row r="24" spans="1:25" s="641" customFormat="1" ht="12.75">
      <c r="A24" s="768"/>
      <c r="B24" s="769"/>
      <c r="C24" s="769"/>
      <c r="D24" s="769"/>
      <c r="E24" s="769"/>
      <c r="F24" s="769"/>
      <c r="G24" s="770"/>
      <c r="H24" s="771" t="s">
        <v>140</v>
      </c>
      <c r="I24" s="478" t="s">
        <v>141</v>
      </c>
      <c r="J24" s="478" t="s">
        <v>141</v>
      </c>
      <c r="K24" s="741"/>
      <c r="L24" s="742"/>
      <c r="M24" s="758">
        <f>Q18</f>
        <v>1600</v>
      </c>
      <c r="N24" s="765"/>
      <c r="O24" s="765"/>
      <c r="P24" s="745"/>
      <c r="Q24" s="745"/>
      <c r="R24" s="751"/>
      <c r="S24" s="751"/>
      <c r="T24" s="766"/>
      <c r="U24" s="767"/>
      <c r="W24" s="651"/>
      <c r="X24" s="4"/>
    </row>
    <row r="25" spans="1:25" s="641" customFormat="1" ht="12.75">
      <c r="A25" s="768"/>
      <c r="B25" s="769"/>
      <c r="C25" s="769"/>
      <c r="D25" s="769"/>
      <c r="E25" s="769"/>
      <c r="F25" s="769"/>
      <c r="G25" s="770"/>
      <c r="H25" s="739" t="s">
        <v>142</v>
      </c>
      <c r="I25" s="741" t="s">
        <v>143</v>
      </c>
      <c r="J25" s="741" t="s">
        <v>143</v>
      </c>
      <c r="K25" s="741"/>
      <c r="L25" s="742"/>
      <c r="M25" s="758">
        <f>P18</f>
        <v>8218.23</v>
      </c>
      <c r="N25" s="765"/>
      <c r="O25" s="765"/>
      <c r="P25" s="745"/>
      <c r="Q25" s="745"/>
      <c r="R25" s="751"/>
      <c r="S25" s="751"/>
      <c r="T25" s="766"/>
      <c r="U25" s="767"/>
      <c r="W25" s="651"/>
      <c r="X25" s="4"/>
    </row>
    <row r="26" spans="1:25" s="641" customFormat="1" ht="12.75">
      <c r="A26" s="772"/>
      <c r="B26" s="750"/>
      <c r="G26" s="738"/>
      <c r="H26" s="739" t="s">
        <v>64</v>
      </c>
      <c r="I26" s="740" t="s">
        <v>372</v>
      </c>
      <c r="J26" s="740"/>
      <c r="K26" s="773"/>
      <c r="L26" s="742"/>
      <c r="M26" s="758">
        <f>R18</f>
        <v>787.5</v>
      </c>
      <c r="N26" s="765"/>
      <c r="O26" s="765"/>
      <c r="P26" s="745"/>
      <c r="Q26" s="745"/>
      <c r="R26" s="751"/>
      <c r="S26" s="751"/>
      <c r="T26" s="766"/>
      <c r="U26" s="767"/>
      <c r="X26" s="4"/>
    </row>
    <row r="27" spans="1:25" s="641" customFormat="1" ht="12.75">
      <c r="A27" s="772" t="s">
        <v>390</v>
      </c>
      <c r="B27" s="774"/>
      <c r="G27" s="738"/>
      <c r="H27" s="739" t="s">
        <v>66</v>
      </c>
      <c r="I27" s="775" t="s">
        <v>374</v>
      </c>
      <c r="J27" s="775"/>
      <c r="K27" s="773"/>
      <c r="L27" s="742"/>
      <c r="M27" s="758">
        <f>T18</f>
        <v>72816.51999999999</v>
      </c>
      <c r="N27" s="765"/>
      <c r="O27" s="765"/>
      <c r="P27" s="745"/>
      <c r="Q27" s="745"/>
      <c r="R27" s="751"/>
      <c r="S27" s="751"/>
      <c r="T27" s="766"/>
      <c r="U27" s="767"/>
      <c r="X27" s="4"/>
    </row>
    <row r="28" spans="1:25" s="641" customFormat="1" ht="12.75">
      <c r="A28" s="772"/>
      <c r="B28" s="774"/>
      <c r="G28" s="738"/>
      <c r="H28" s="739"/>
      <c r="I28" s="773"/>
      <c r="J28" s="773"/>
      <c r="K28" s="773"/>
      <c r="L28" s="742"/>
      <c r="M28" s="758"/>
      <c r="N28" s="765"/>
      <c r="O28" s="765"/>
      <c r="P28" s="745"/>
      <c r="Q28" s="745"/>
      <c r="R28" s="751"/>
      <c r="S28" s="751"/>
      <c r="T28" s="766"/>
      <c r="U28" s="767"/>
      <c r="X28" s="4"/>
    </row>
    <row r="29" spans="1:25" s="641" customFormat="1" ht="12.75">
      <c r="A29" s="772"/>
      <c r="B29" s="751"/>
      <c r="C29" s="727"/>
      <c r="D29" s="727"/>
      <c r="E29" s="727"/>
      <c r="F29" s="727"/>
      <c r="G29" s="738"/>
      <c r="H29" s="739"/>
      <c r="I29" s="737"/>
      <c r="J29" s="776"/>
      <c r="K29" s="776"/>
      <c r="L29" s="742"/>
      <c r="M29" s="743"/>
      <c r="N29" s="744"/>
      <c r="O29" s="744"/>
      <c r="P29" s="777"/>
      <c r="Q29" s="777"/>
      <c r="R29" s="778"/>
      <c r="S29" s="779"/>
      <c r="T29" s="780"/>
      <c r="U29" s="781"/>
      <c r="X29" s="4"/>
    </row>
    <row r="30" spans="1:25" s="641" customFormat="1" ht="12.75">
      <c r="A30" s="782" t="s">
        <v>321</v>
      </c>
      <c r="B30" s="783"/>
      <c r="C30" s="783"/>
      <c r="D30" s="783"/>
      <c r="E30" s="783"/>
      <c r="F30" s="783"/>
      <c r="G30" s="784"/>
      <c r="H30" s="785"/>
      <c r="I30" s="786"/>
      <c r="J30" s="776"/>
      <c r="K30" s="776"/>
      <c r="L30" s="742"/>
      <c r="M30" s="743"/>
      <c r="N30" s="787" t="s">
        <v>391</v>
      </c>
      <c r="O30" s="788"/>
      <c r="P30" s="788"/>
      <c r="Q30" s="788"/>
      <c r="R30" s="788"/>
      <c r="S30" s="788"/>
      <c r="T30" s="788"/>
      <c r="U30" s="789"/>
      <c r="X30" s="4"/>
    </row>
    <row r="31" spans="1:25" s="641" customFormat="1" ht="12.75">
      <c r="A31" s="790" t="s">
        <v>323</v>
      </c>
      <c r="B31" s="791"/>
      <c r="C31" s="791"/>
      <c r="D31" s="791"/>
      <c r="E31" s="791"/>
      <c r="F31" s="791"/>
      <c r="G31" s="792"/>
      <c r="H31" s="785"/>
      <c r="I31" s="786"/>
      <c r="J31" s="776"/>
      <c r="K31" s="776"/>
      <c r="L31" s="742"/>
      <c r="M31" s="742"/>
      <c r="N31" s="787"/>
      <c r="O31" s="788"/>
      <c r="P31" s="788"/>
      <c r="Q31" s="788"/>
      <c r="R31" s="788"/>
      <c r="S31" s="788"/>
      <c r="T31" s="788"/>
      <c r="U31" s="789"/>
      <c r="X31" s="4"/>
    </row>
    <row r="32" spans="1:25" s="641" customFormat="1" ht="26.25" customHeight="1">
      <c r="A32" s="793"/>
      <c r="B32" s="737"/>
      <c r="F32" s="794"/>
      <c r="G32" s="794"/>
      <c r="H32" s="785"/>
      <c r="I32" s="786"/>
      <c r="J32" s="795"/>
      <c r="K32" s="795"/>
      <c r="L32" s="742"/>
      <c r="M32" s="742"/>
      <c r="N32" s="796"/>
      <c r="O32" s="796"/>
      <c r="P32" s="796"/>
      <c r="Q32" s="796"/>
      <c r="R32" s="796"/>
      <c r="S32" s="796"/>
      <c r="T32" s="796"/>
      <c r="U32" s="797"/>
      <c r="X32" s="4"/>
    </row>
    <row r="33" spans="1:24" s="641" customFormat="1" ht="14.25" customHeight="1">
      <c r="A33" s="772" t="s">
        <v>392</v>
      </c>
      <c r="B33" s="766"/>
      <c r="C33" s="766"/>
      <c r="D33" s="766"/>
      <c r="E33" s="766"/>
      <c r="F33" s="798">
        <f>J18</f>
        <v>91440.35</v>
      </c>
      <c r="G33" s="799"/>
      <c r="H33" s="786"/>
      <c r="I33" s="786"/>
      <c r="J33" s="776"/>
      <c r="K33" s="776"/>
      <c r="L33" s="742"/>
      <c r="M33" s="742"/>
      <c r="N33" s="796"/>
      <c r="O33" s="796"/>
      <c r="P33" s="796"/>
      <c r="Q33" s="796"/>
      <c r="R33" s="796"/>
      <c r="S33" s="796"/>
      <c r="T33" s="796"/>
      <c r="U33" s="797"/>
      <c r="X33" s="4"/>
    </row>
    <row r="34" spans="1:24" s="641" customFormat="1" ht="12.75">
      <c r="A34" s="772"/>
      <c r="B34" s="751"/>
      <c r="C34" s="774"/>
      <c r="D34" s="774"/>
      <c r="E34" s="774"/>
      <c r="F34" s="774"/>
      <c r="G34" s="738"/>
      <c r="H34" s="786"/>
      <c r="I34" s="786"/>
      <c r="J34" s="776"/>
      <c r="K34" s="776"/>
      <c r="L34" s="742"/>
      <c r="M34" s="743"/>
      <c r="N34" s="744"/>
      <c r="O34" s="744"/>
      <c r="P34" s="800"/>
      <c r="Q34" s="800"/>
      <c r="R34" s="748"/>
      <c r="S34" s="746"/>
      <c r="U34" s="781"/>
      <c r="X34" s="4"/>
    </row>
    <row r="35" spans="1:24" s="641" customFormat="1" ht="12.75">
      <c r="A35" s="782" t="s">
        <v>75</v>
      </c>
      <c r="B35" s="783"/>
      <c r="C35" s="783"/>
      <c r="D35" s="783"/>
      <c r="E35" s="783"/>
      <c r="F35" s="783"/>
      <c r="G35" s="784"/>
      <c r="H35" s="786"/>
      <c r="I35" s="786"/>
      <c r="J35" s="766"/>
      <c r="K35" s="766"/>
      <c r="L35" s="742"/>
      <c r="M35" s="743"/>
      <c r="N35" s="744"/>
      <c r="O35" s="744"/>
      <c r="P35" s="777"/>
      <c r="Q35" s="777"/>
      <c r="R35" s="746"/>
      <c r="S35" s="747"/>
      <c r="T35" s="748"/>
      <c r="U35" s="801"/>
      <c r="X35" s="4"/>
    </row>
    <row r="36" spans="1:24" s="641" customFormat="1" ht="12.75">
      <c r="A36" s="790" t="s">
        <v>78</v>
      </c>
      <c r="B36" s="791"/>
      <c r="C36" s="791"/>
      <c r="D36" s="791"/>
      <c r="E36" s="791"/>
      <c r="F36" s="791"/>
      <c r="G36" s="792"/>
      <c r="H36" s="786"/>
      <c r="I36" s="786"/>
      <c r="J36" s="766"/>
      <c r="K36" s="766"/>
      <c r="L36" s="742"/>
      <c r="M36" s="743"/>
      <c r="N36" s="744"/>
      <c r="O36" s="744"/>
      <c r="P36" s="512" t="s">
        <v>73</v>
      </c>
      <c r="Q36" s="512"/>
      <c r="R36" s="512"/>
      <c r="S36" s="512"/>
      <c r="T36" s="512"/>
      <c r="U36" s="802"/>
      <c r="X36" s="4"/>
    </row>
    <row r="37" spans="1:24" s="641" customFormat="1" ht="12.75">
      <c r="A37" s="772"/>
      <c r="B37" s="726"/>
      <c r="C37" s="726"/>
      <c r="D37" s="803"/>
      <c r="E37" s="803"/>
      <c r="F37" s="804"/>
      <c r="G37" s="738"/>
      <c r="H37" s="786"/>
      <c r="I37" s="786"/>
      <c r="J37" s="766"/>
      <c r="K37" s="766"/>
      <c r="L37" s="742"/>
      <c r="M37" s="743"/>
      <c r="N37" s="744"/>
      <c r="O37" s="744"/>
      <c r="P37" s="515" t="s">
        <v>376</v>
      </c>
      <c r="Q37" s="515"/>
      <c r="R37" s="515"/>
      <c r="S37" s="515"/>
      <c r="T37" s="515"/>
      <c r="U37" s="805" t="s">
        <v>327</v>
      </c>
      <c r="X37" s="4"/>
    </row>
    <row r="38" spans="1:24" s="641" customFormat="1" ht="13.5" thickBot="1">
      <c r="A38" s="806"/>
      <c r="B38" s="807"/>
      <c r="C38" s="807"/>
      <c r="D38" s="808"/>
      <c r="E38" s="808"/>
      <c r="F38" s="809"/>
      <c r="G38" s="810"/>
      <c r="H38" s="811"/>
      <c r="I38" s="811"/>
      <c r="J38" s="812" t="s">
        <v>377</v>
      </c>
      <c r="K38" s="812"/>
      <c r="L38" s="813">
        <f>L20</f>
        <v>91440.35</v>
      </c>
      <c r="M38" s="813">
        <f>SUM(M20:M37)</f>
        <v>91440.349999999991</v>
      </c>
      <c r="N38" s="814"/>
      <c r="O38" s="814"/>
      <c r="P38" s="815"/>
      <c r="Q38" s="815"/>
      <c r="R38" s="816"/>
      <c r="S38" s="817"/>
      <c r="T38" s="818"/>
      <c r="U38" s="819"/>
      <c r="X38" s="4"/>
    </row>
    <row r="39" spans="1:24">
      <c r="A39" s="540"/>
      <c r="M39" s="542"/>
      <c r="U39" s="246"/>
    </row>
    <row r="40" spans="1:24">
      <c r="M40" s="545"/>
      <c r="N40" s="545"/>
      <c r="O40" s="545"/>
    </row>
    <row r="41" spans="1:24">
      <c r="P41" s="548"/>
      <c r="Q41" s="548"/>
    </row>
    <row r="42" spans="1:24">
      <c r="J42" s="549"/>
      <c r="K42" s="549"/>
    </row>
    <row r="43" spans="1:24">
      <c r="P43" s="550"/>
      <c r="Q43" s="550"/>
      <c r="R43" s="550"/>
      <c r="S43" s="550"/>
      <c r="T43" s="550"/>
      <c r="U43" s="550"/>
    </row>
    <row r="44" spans="1:24">
      <c r="P44" s="550"/>
      <c r="Q44" s="550"/>
      <c r="R44" s="550"/>
      <c r="S44" s="550"/>
      <c r="T44" s="550"/>
      <c r="U44" s="550"/>
    </row>
  </sheetData>
  <mergeCells count="52">
    <mergeCell ref="P43:U44"/>
    <mergeCell ref="A35:G35"/>
    <mergeCell ref="A36:G36"/>
    <mergeCell ref="P36:T36"/>
    <mergeCell ref="B37:C37"/>
    <mergeCell ref="P37:T37"/>
    <mergeCell ref="B38:C38"/>
    <mergeCell ref="I27:J27"/>
    <mergeCell ref="A30:G30"/>
    <mergeCell ref="N30:U31"/>
    <mergeCell ref="A31:G31"/>
    <mergeCell ref="F32:G32"/>
    <mergeCell ref="F33:G33"/>
    <mergeCell ref="A22:G22"/>
    <mergeCell ref="I22:J22"/>
    <mergeCell ref="N22:U22"/>
    <mergeCell ref="A23:G23"/>
    <mergeCell ref="I23:J23"/>
    <mergeCell ref="I26:J26"/>
    <mergeCell ref="A19:B19"/>
    <mergeCell ref="H19:J19"/>
    <mergeCell ref="N19:S19"/>
    <mergeCell ref="T19:U19"/>
    <mergeCell ref="I20:J20"/>
    <mergeCell ref="I21:J21"/>
    <mergeCell ref="N21:U21"/>
    <mergeCell ref="Q6:Q9"/>
    <mergeCell ref="R6:R9"/>
    <mergeCell ref="S6:S9"/>
    <mergeCell ref="T6:T9"/>
    <mergeCell ref="B7:B8"/>
    <mergeCell ref="V7:W7"/>
    <mergeCell ref="I5:I9"/>
    <mergeCell ref="J5:J9"/>
    <mergeCell ref="K5:R5"/>
    <mergeCell ref="U5:U9"/>
    <mergeCell ref="K6:K9"/>
    <mergeCell ref="L6:L9"/>
    <mergeCell ref="M6:M9"/>
    <mergeCell ref="N6:N9"/>
    <mergeCell ref="O6:O9"/>
    <mergeCell ref="P6:P9"/>
    <mergeCell ref="A1:U1"/>
    <mergeCell ref="A2:U2"/>
    <mergeCell ref="A3:U3"/>
    <mergeCell ref="A5:A9"/>
    <mergeCell ref="C5:C9"/>
    <mergeCell ref="D5:D9"/>
    <mergeCell ref="E5:E9"/>
    <mergeCell ref="F5:F9"/>
    <mergeCell ref="G5:G9"/>
    <mergeCell ref="H5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8D58-21E9-472E-AA53-B689FBC18DAB}">
  <dimension ref="A1:AA42"/>
  <sheetViews>
    <sheetView workbookViewId="0">
      <selection activeCell="H18" sqref="H18:J18"/>
    </sheetView>
  </sheetViews>
  <sheetFormatPr defaultRowHeight="15"/>
  <cols>
    <col min="1" max="1" width="3.85546875" customWidth="1"/>
    <col min="2" max="2" width="18.140625" style="541" customWidth="1"/>
    <col min="3" max="3" width="12.5703125" customWidth="1"/>
    <col min="4" max="4" width="18.7109375" customWidth="1"/>
    <col min="5" max="5" width="8" customWidth="1"/>
    <col min="6" max="6" width="8.85546875" customWidth="1"/>
    <col min="7" max="7" width="10.7109375" style="239" customWidth="1"/>
    <col min="8" max="8" width="11.28515625" style="240" customWidth="1"/>
    <col min="9" max="9" width="12.7109375" style="240" customWidth="1"/>
    <col min="10" max="10" width="11.85546875" style="241" customWidth="1"/>
    <col min="11" max="12" width="12.140625" customWidth="1"/>
    <col min="13" max="14" width="8.140625" hidden="1" customWidth="1"/>
    <col min="15" max="15" width="9.85546875" customWidth="1"/>
    <col min="16" max="16" width="12.28515625" customWidth="1"/>
    <col min="17" max="17" width="9.5703125" style="544" customWidth="1"/>
    <col min="18" max="18" width="9.7109375" style="544" customWidth="1"/>
    <col min="19" max="19" width="9.85546875" style="239" customWidth="1"/>
    <col min="20" max="20" width="9.7109375" style="244" customWidth="1"/>
    <col min="21" max="21" width="14.42578125" style="245" customWidth="1"/>
    <col min="22" max="22" width="22.140625" style="547" customWidth="1"/>
    <col min="23" max="24" width="11" customWidth="1"/>
    <col min="25" max="25" width="10.42578125" customWidth="1"/>
    <col min="26" max="26" width="10.5703125" style="4" customWidth="1"/>
  </cols>
  <sheetData>
    <row r="1" spans="1:27" ht="21.75" customHeight="1">
      <c r="A1" s="225" t="s">
        <v>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7"/>
    </row>
    <row r="2" spans="1:27" ht="15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1"/>
    </row>
    <row r="3" spans="1:27" ht="15.75" customHeight="1">
      <c r="A3" s="232" t="s">
        <v>165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4"/>
    </row>
    <row r="4" spans="1:27" ht="15.75" thickBot="1">
      <c r="A4" s="661" t="s">
        <v>3</v>
      </c>
      <c r="B4" s="662"/>
      <c r="C4" s="663"/>
      <c r="D4" s="663"/>
      <c r="E4" s="663"/>
      <c r="F4" s="663"/>
      <c r="G4" s="664"/>
      <c r="H4" s="665"/>
      <c r="I4" s="665"/>
      <c r="J4" s="666"/>
      <c r="K4" s="667"/>
      <c r="L4" s="667"/>
      <c r="M4" s="667"/>
      <c r="N4" s="667"/>
      <c r="O4" s="667"/>
      <c r="P4" s="667"/>
      <c r="Q4" s="668"/>
      <c r="R4" s="668"/>
      <c r="S4" s="664"/>
      <c r="T4" s="669"/>
      <c r="U4" s="670"/>
      <c r="V4" s="671"/>
    </row>
    <row r="5" spans="1:27" ht="12" customHeight="1">
      <c r="A5" s="672" t="s">
        <v>166</v>
      </c>
      <c r="B5" s="673"/>
      <c r="C5" s="674" t="s">
        <v>7</v>
      </c>
      <c r="D5" s="674" t="s">
        <v>393</v>
      </c>
      <c r="E5" s="674" t="s">
        <v>10</v>
      </c>
      <c r="F5" s="675" t="s">
        <v>168</v>
      </c>
      <c r="G5" s="676" t="s">
        <v>169</v>
      </c>
      <c r="H5" s="676" t="s">
        <v>170</v>
      </c>
      <c r="I5" s="676" t="s">
        <v>12</v>
      </c>
      <c r="J5" s="677" t="s">
        <v>13</v>
      </c>
      <c r="K5" s="820" t="s">
        <v>329</v>
      </c>
      <c r="L5" s="821"/>
      <c r="M5" s="821"/>
      <c r="N5" s="821"/>
      <c r="O5" s="821"/>
      <c r="P5" s="821"/>
      <c r="Q5" s="821"/>
      <c r="R5" s="821"/>
      <c r="S5" s="822"/>
      <c r="T5" s="681"/>
      <c r="U5" s="682" t="s">
        <v>68</v>
      </c>
      <c r="V5" s="683" t="s">
        <v>21</v>
      </c>
      <c r="AA5" t="s">
        <v>68</v>
      </c>
    </row>
    <row r="6" spans="1:27" ht="12" customHeight="1">
      <c r="A6" s="684"/>
      <c r="B6" s="685"/>
      <c r="C6" s="686"/>
      <c r="D6" s="686"/>
      <c r="E6" s="686"/>
      <c r="F6" s="687"/>
      <c r="G6" s="688"/>
      <c r="H6" s="688"/>
      <c r="I6" s="688"/>
      <c r="J6" s="689"/>
      <c r="K6" s="691" t="s">
        <v>331</v>
      </c>
      <c r="L6" s="691" t="s">
        <v>332</v>
      </c>
      <c r="M6" s="694" t="s">
        <v>394</v>
      </c>
      <c r="N6" s="694" t="s">
        <v>395</v>
      </c>
      <c r="O6" s="691" t="s">
        <v>15</v>
      </c>
      <c r="P6" s="694" t="s">
        <v>133</v>
      </c>
      <c r="Q6" s="692" t="s">
        <v>137</v>
      </c>
      <c r="R6" s="692" t="s">
        <v>14</v>
      </c>
      <c r="S6" s="693" t="s">
        <v>16</v>
      </c>
      <c r="T6" s="691" t="s">
        <v>175</v>
      </c>
      <c r="U6" s="694" t="s">
        <v>20</v>
      </c>
      <c r="V6" s="695"/>
    </row>
    <row r="7" spans="1:27" ht="12" customHeight="1">
      <c r="A7" s="684"/>
      <c r="B7" s="696" t="s">
        <v>176</v>
      </c>
      <c r="C7" s="686"/>
      <c r="D7" s="686"/>
      <c r="E7" s="686"/>
      <c r="F7" s="687"/>
      <c r="G7" s="688"/>
      <c r="H7" s="688"/>
      <c r="I7" s="688"/>
      <c r="J7" s="689"/>
      <c r="K7" s="697"/>
      <c r="L7" s="697"/>
      <c r="M7" s="689"/>
      <c r="N7" s="689"/>
      <c r="O7" s="697"/>
      <c r="P7" s="689"/>
      <c r="Q7" s="698"/>
      <c r="R7" s="698"/>
      <c r="S7" s="699"/>
      <c r="T7" s="697"/>
      <c r="U7" s="689"/>
      <c r="V7" s="695"/>
      <c r="W7" s="588"/>
      <c r="X7" s="588"/>
      <c r="Y7" s="588"/>
    </row>
    <row r="8" spans="1:27" ht="12" customHeight="1">
      <c r="A8" s="684"/>
      <c r="B8" s="696"/>
      <c r="C8" s="686"/>
      <c r="D8" s="686"/>
      <c r="E8" s="686"/>
      <c r="F8" s="687"/>
      <c r="G8" s="688"/>
      <c r="H8" s="688"/>
      <c r="I8" s="688"/>
      <c r="J8" s="689"/>
      <c r="K8" s="697"/>
      <c r="L8" s="697"/>
      <c r="M8" s="689"/>
      <c r="N8" s="689"/>
      <c r="O8" s="697"/>
      <c r="P8" s="689"/>
      <c r="Q8" s="698"/>
      <c r="R8" s="698"/>
      <c r="S8" s="699"/>
      <c r="T8" s="697"/>
      <c r="U8" s="689"/>
      <c r="V8" s="695"/>
    </row>
    <row r="9" spans="1:27" ht="12" customHeight="1">
      <c r="A9" s="700"/>
      <c r="B9" s="701"/>
      <c r="C9" s="702"/>
      <c r="D9" s="702"/>
      <c r="E9" s="702"/>
      <c r="F9" s="703"/>
      <c r="G9" s="704"/>
      <c r="H9" s="704"/>
      <c r="I9" s="704"/>
      <c r="J9" s="705"/>
      <c r="K9" s="706"/>
      <c r="L9" s="706"/>
      <c r="M9" s="705"/>
      <c r="N9" s="705"/>
      <c r="O9" s="706"/>
      <c r="P9" s="705"/>
      <c r="Q9" s="707"/>
      <c r="R9" s="707"/>
      <c r="S9" s="708"/>
      <c r="T9" s="706"/>
      <c r="U9" s="705"/>
      <c r="V9" s="709"/>
    </row>
    <row r="10" spans="1:27">
      <c r="A10" s="823">
        <v>1</v>
      </c>
      <c r="B10" s="824" t="s">
        <v>396</v>
      </c>
      <c r="C10" s="825" t="s">
        <v>179</v>
      </c>
      <c r="D10" s="826" t="s">
        <v>397</v>
      </c>
      <c r="E10" s="827">
        <v>731.7</v>
      </c>
      <c r="F10" s="828">
        <v>8048.7</v>
      </c>
      <c r="G10" s="829"/>
      <c r="H10" s="830"/>
      <c r="I10" s="829"/>
      <c r="J10" s="831">
        <f>F10-G10-H10</f>
        <v>8048.7</v>
      </c>
      <c r="K10" s="832">
        <v>241.46</v>
      </c>
      <c r="L10" s="832">
        <v>160.97</v>
      </c>
      <c r="M10" s="832"/>
      <c r="N10" s="832"/>
      <c r="O10" s="833">
        <v>760</v>
      </c>
      <c r="P10" s="830">
        <v>804.87</v>
      </c>
      <c r="Q10" s="834">
        <v>200</v>
      </c>
      <c r="R10" s="834"/>
      <c r="S10" s="835"/>
      <c r="T10" s="836">
        <f>K10+L10+O10+P10+Q10+R10+S10</f>
        <v>2167.3000000000002</v>
      </c>
      <c r="U10" s="837">
        <f>J10-T10</f>
        <v>5881.4</v>
      </c>
      <c r="V10" s="838"/>
      <c r="W10" s="327">
        <v>16097.4</v>
      </c>
      <c r="X10" s="327">
        <f t="shared" ref="X10:X16" si="0">W10/2</f>
        <v>8048.7</v>
      </c>
      <c r="Y10" s="373">
        <v>731.7</v>
      </c>
      <c r="Z10" s="374">
        <f>Y10/8/60</f>
        <v>1.524375</v>
      </c>
      <c r="AA10" s="542">
        <f>Y10/8</f>
        <v>91.462500000000006</v>
      </c>
    </row>
    <row r="11" spans="1:27" s="379" customFormat="1" ht="16.5">
      <c r="A11" s="823">
        <v>2</v>
      </c>
      <c r="B11" s="824" t="s">
        <v>398</v>
      </c>
      <c r="C11" s="825" t="s">
        <v>179</v>
      </c>
      <c r="D11" s="825" t="s">
        <v>399</v>
      </c>
      <c r="E11" s="827">
        <v>731.7</v>
      </c>
      <c r="F11" s="828">
        <v>8048.7</v>
      </c>
      <c r="G11" s="839"/>
      <c r="H11" s="840"/>
      <c r="I11" s="840"/>
      <c r="J11" s="831">
        <f t="shared" ref="J11:J16" si="1">F11-G11-H11</f>
        <v>8048.7</v>
      </c>
      <c r="K11" s="832"/>
      <c r="L11" s="832"/>
      <c r="M11" s="832"/>
      <c r="N11" s="832"/>
      <c r="O11" s="841">
        <v>760</v>
      </c>
      <c r="P11" s="830">
        <v>804.87</v>
      </c>
      <c r="Q11" s="834">
        <v>200</v>
      </c>
      <c r="R11" s="842"/>
      <c r="S11" s="843"/>
      <c r="T11" s="836">
        <f t="shared" ref="T11:T16" si="2">K11+L11+O11+P11+Q11+R11+S11</f>
        <v>1764.87</v>
      </c>
      <c r="U11" s="837">
        <f t="shared" ref="U11:U16" si="3">J11-T11</f>
        <v>6283.83</v>
      </c>
      <c r="V11" s="714" t="s">
        <v>25</v>
      </c>
      <c r="W11" s="327">
        <v>16097.4</v>
      </c>
      <c r="X11" s="327">
        <f t="shared" si="0"/>
        <v>8048.7</v>
      </c>
      <c r="Y11" s="373">
        <v>731.7</v>
      </c>
      <c r="Z11" s="374">
        <f>Y11/8/60</f>
        <v>1.524375</v>
      </c>
      <c r="AA11" s="542">
        <f t="shared" ref="AA11:AA16" si="4">Y11/8</f>
        <v>91.462500000000006</v>
      </c>
    </row>
    <row r="12" spans="1:27" s="379" customFormat="1">
      <c r="A12" s="823">
        <v>3</v>
      </c>
      <c r="B12" s="824" t="s">
        <v>400</v>
      </c>
      <c r="C12" s="825" t="s">
        <v>179</v>
      </c>
      <c r="D12" s="825" t="s">
        <v>399</v>
      </c>
      <c r="E12" s="827">
        <v>731.7</v>
      </c>
      <c r="F12" s="828">
        <v>8048.7</v>
      </c>
      <c r="G12" s="840"/>
      <c r="H12" s="840"/>
      <c r="I12" s="840"/>
      <c r="J12" s="831">
        <f t="shared" si="1"/>
        <v>8048.7</v>
      </c>
      <c r="K12" s="832">
        <v>241.46</v>
      </c>
      <c r="L12" s="832">
        <v>160.97</v>
      </c>
      <c r="M12" s="832"/>
      <c r="N12" s="832"/>
      <c r="O12" s="841">
        <v>760</v>
      </c>
      <c r="P12" s="844"/>
      <c r="Q12" s="834">
        <v>200</v>
      </c>
      <c r="R12" s="842"/>
      <c r="S12" s="845">
        <v>700</v>
      </c>
      <c r="T12" s="836">
        <f t="shared" si="2"/>
        <v>2062.4300000000003</v>
      </c>
      <c r="U12" s="837">
        <f t="shared" si="3"/>
        <v>5986.2699999999995</v>
      </c>
      <c r="V12" s="846"/>
      <c r="W12" s="327">
        <v>16097.4</v>
      </c>
      <c r="X12" s="327">
        <f t="shared" si="0"/>
        <v>8048.7</v>
      </c>
      <c r="Y12" s="373">
        <v>731.7</v>
      </c>
      <c r="Z12" s="374">
        <v>1.52</v>
      </c>
      <c r="AA12" s="542">
        <f t="shared" si="4"/>
        <v>91.462500000000006</v>
      </c>
    </row>
    <row r="13" spans="1:27" s="737" customFormat="1" ht="16.5">
      <c r="A13" s="823">
        <v>4</v>
      </c>
      <c r="B13" s="847" t="s">
        <v>401</v>
      </c>
      <c r="C13" s="825" t="s">
        <v>179</v>
      </c>
      <c r="D13" s="848" t="s">
        <v>402</v>
      </c>
      <c r="E13" s="828">
        <v>731.7</v>
      </c>
      <c r="F13" s="845">
        <v>8048.7</v>
      </c>
      <c r="G13" s="849"/>
      <c r="H13" s="840"/>
      <c r="I13" s="840"/>
      <c r="J13" s="831">
        <f t="shared" si="1"/>
        <v>8048.7</v>
      </c>
      <c r="K13" s="832"/>
      <c r="L13" s="832"/>
      <c r="M13" s="832"/>
      <c r="N13" s="832"/>
      <c r="O13" s="850">
        <v>760</v>
      </c>
      <c r="P13" s="844"/>
      <c r="Q13" s="834">
        <v>200</v>
      </c>
      <c r="R13" s="842"/>
      <c r="S13" s="843"/>
      <c r="T13" s="836">
        <f t="shared" si="2"/>
        <v>960</v>
      </c>
      <c r="U13" s="837">
        <f t="shared" si="3"/>
        <v>7088.7</v>
      </c>
      <c r="V13" s="714" t="s">
        <v>25</v>
      </c>
      <c r="W13" s="327">
        <v>16097.4</v>
      </c>
      <c r="X13" s="374">
        <f t="shared" si="0"/>
        <v>8048.7</v>
      </c>
      <c r="Y13" s="851">
        <v>731.7</v>
      </c>
      <c r="Z13" s="851">
        <v>1.52</v>
      </c>
      <c r="AA13" s="542">
        <f t="shared" si="4"/>
        <v>91.462500000000006</v>
      </c>
    </row>
    <row r="14" spans="1:27" s="379" customFormat="1">
      <c r="A14" s="823">
        <v>5</v>
      </c>
      <c r="B14" s="824" t="s">
        <v>403</v>
      </c>
      <c r="C14" s="825" t="s">
        <v>179</v>
      </c>
      <c r="D14" s="825" t="s">
        <v>402</v>
      </c>
      <c r="E14" s="828">
        <v>824.3</v>
      </c>
      <c r="F14" s="828">
        <v>9067.2999999999993</v>
      </c>
      <c r="G14" s="840"/>
      <c r="H14" s="840"/>
      <c r="I14" s="840"/>
      <c r="J14" s="831">
        <f t="shared" si="1"/>
        <v>9067.2999999999993</v>
      </c>
      <c r="K14" s="832">
        <v>241.11</v>
      </c>
      <c r="L14" s="832">
        <v>160.74</v>
      </c>
      <c r="M14" s="832"/>
      <c r="N14" s="832"/>
      <c r="O14" s="841">
        <v>760</v>
      </c>
      <c r="P14" s="830">
        <v>906.73</v>
      </c>
      <c r="Q14" s="834">
        <v>200</v>
      </c>
      <c r="R14" s="842"/>
      <c r="S14" s="845">
        <v>100</v>
      </c>
      <c r="T14" s="836">
        <f t="shared" si="2"/>
        <v>2368.58</v>
      </c>
      <c r="U14" s="837">
        <f t="shared" si="3"/>
        <v>6698.7199999999993</v>
      </c>
      <c r="V14" s="333"/>
      <c r="W14" s="327">
        <v>18134.599999999999</v>
      </c>
      <c r="X14" s="327">
        <f t="shared" si="0"/>
        <v>9067.2999999999993</v>
      </c>
      <c r="Y14" s="373">
        <v>824.3</v>
      </c>
      <c r="Z14" s="374">
        <v>1.72</v>
      </c>
      <c r="AA14" s="542">
        <f t="shared" si="4"/>
        <v>103.03749999999999</v>
      </c>
    </row>
    <row r="15" spans="1:27" s="737" customFormat="1" ht="16.5">
      <c r="A15" s="823">
        <v>6</v>
      </c>
      <c r="B15" s="847" t="s">
        <v>404</v>
      </c>
      <c r="C15" s="825" t="s">
        <v>179</v>
      </c>
      <c r="D15" s="848" t="s">
        <v>402</v>
      </c>
      <c r="E15" s="828">
        <v>731.7</v>
      </c>
      <c r="F15" s="845">
        <v>8048.7</v>
      </c>
      <c r="G15" s="849"/>
      <c r="H15" s="840"/>
      <c r="I15" s="840"/>
      <c r="J15" s="831">
        <f t="shared" si="1"/>
        <v>8048.7</v>
      </c>
      <c r="K15" s="832"/>
      <c r="L15" s="832"/>
      <c r="M15" s="832"/>
      <c r="N15" s="832"/>
      <c r="O15" s="850">
        <v>760</v>
      </c>
      <c r="P15" s="830">
        <v>804.87</v>
      </c>
      <c r="Q15" s="834">
        <v>200</v>
      </c>
      <c r="R15" s="842"/>
      <c r="S15" s="843"/>
      <c r="T15" s="836">
        <f t="shared" si="2"/>
        <v>1764.87</v>
      </c>
      <c r="U15" s="837">
        <f t="shared" si="3"/>
        <v>6283.83</v>
      </c>
      <c r="V15" s="714" t="s">
        <v>25</v>
      </c>
      <c r="W15" s="327">
        <v>16097.4</v>
      </c>
      <c r="X15" s="374">
        <f t="shared" si="0"/>
        <v>8048.7</v>
      </c>
      <c r="Y15" s="851">
        <v>731.7</v>
      </c>
      <c r="Z15" s="851">
        <v>1.52</v>
      </c>
      <c r="AA15" s="542">
        <f t="shared" si="4"/>
        <v>91.462500000000006</v>
      </c>
    </row>
    <row r="16" spans="1:27" s="379" customFormat="1" ht="16.5">
      <c r="A16" s="823">
        <v>7</v>
      </c>
      <c r="B16" s="824" t="s">
        <v>405</v>
      </c>
      <c r="C16" s="825" t="s">
        <v>179</v>
      </c>
      <c r="D16" s="825" t="s">
        <v>402</v>
      </c>
      <c r="E16" s="827">
        <v>824.3</v>
      </c>
      <c r="F16" s="828">
        <v>9067.2999999999993</v>
      </c>
      <c r="G16" s="849"/>
      <c r="H16" s="840"/>
      <c r="I16" s="840"/>
      <c r="J16" s="831">
        <f t="shared" si="1"/>
        <v>9067.2999999999993</v>
      </c>
      <c r="K16" s="832"/>
      <c r="L16" s="832"/>
      <c r="M16" s="832"/>
      <c r="N16" s="832"/>
      <c r="O16" s="841">
        <v>760</v>
      </c>
      <c r="P16" s="830">
        <v>906.73</v>
      </c>
      <c r="Q16" s="834">
        <v>200</v>
      </c>
      <c r="R16" s="842"/>
      <c r="S16" s="845">
        <v>220</v>
      </c>
      <c r="T16" s="836">
        <f t="shared" si="2"/>
        <v>2086.73</v>
      </c>
      <c r="U16" s="837">
        <f t="shared" si="3"/>
        <v>6980.57</v>
      </c>
      <c r="V16" s="714" t="s">
        <v>25</v>
      </c>
      <c r="W16" s="327">
        <v>18134.599999999999</v>
      </c>
      <c r="X16" s="327">
        <f t="shared" si="0"/>
        <v>9067.2999999999993</v>
      </c>
      <c r="Y16" s="373">
        <v>824.3</v>
      </c>
      <c r="Z16" s="374">
        <v>1.72</v>
      </c>
      <c r="AA16" s="542">
        <f t="shared" si="4"/>
        <v>103.03749999999999</v>
      </c>
    </row>
    <row r="17" spans="1:26" s="311" customFormat="1" ht="14.25" thickBot="1">
      <c r="A17" s="852"/>
      <c r="B17" s="719"/>
      <c r="C17" s="720"/>
      <c r="D17" s="720"/>
      <c r="E17" s="720"/>
      <c r="F17" s="720"/>
      <c r="G17" s="721"/>
      <c r="H17" s="722"/>
      <c r="I17" s="722"/>
      <c r="J17" s="853">
        <f>SUM(J10:J16)</f>
        <v>58378.099999999991</v>
      </c>
      <c r="K17" s="853">
        <f t="shared" ref="K17:U17" si="5">SUM(K10:K16)</f>
        <v>724.03</v>
      </c>
      <c r="L17" s="853">
        <f t="shared" si="5"/>
        <v>482.68</v>
      </c>
      <c r="M17" s="853">
        <f t="shared" si="5"/>
        <v>0</v>
      </c>
      <c r="N17" s="853">
        <f t="shared" si="5"/>
        <v>0</v>
      </c>
      <c r="O17" s="853">
        <f t="shared" si="5"/>
        <v>5320</v>
      </c>
      <c r="P17" s="853">
        <f t="shared" si="5"/>
        <v>4228.07</v>
      </c>
      <c r="Q17" s="853">
        <f t="shared" si="5"/>
        <v>1400</v>
      </c>
      <c r="R17" s="853">
        <f t="shared" si="5"/>
        <v>0</v>
      </c>
      <c r="S17" s="853">
        <f t="shared" si="5"/>
        <v>1020</v>
      </c>
      <c r="T17" s="853">
        <f t="shared" si="5"/>
        <v>13174.779999999999</v>
      </c>
      <c r="U17" s="853">
        <f t="shared" si="5"/>
        <v>45203.32</v>
      </c>
      <c r="V17" s="853">
        <f>SUM(V10:V16)</f>
        <v>0</v>
      </c>
      <c r="Z17" s="4"/>
    </row>
    <row r="18" spans="1:26" s="641" customFormat="1" ht="13.5" thickTop="1">
      <c r="A18" s="725" t="s">
        <v>312</v>
      </c>
      <c r="B18" s="726"/>
      <c r="C18" s="727"/>
      <c r="D18" s="727"/>
      <c r="E18" s="727"/>
      <c r="F18" s="727"/>
      <c r="G18" s="728"/>
      <c r="H18" s="854" t="s">
        <v>48</v>
      </c>
      <c r="I18" s="855"/>
      <c r="J18" s="856"/>
      <c r="K18" s="857" t="s">
        <v>309</v>
      </c>
      <c r="L18" s="858" t="s">
        <v>310</v>
      </c>
      <c r="M18" s="859" t="s">
        <v>311</v>
      </c>
      <c r="N18" s="860"/>
      <c r="O18" s="860"/>
      <c r="P18" s="860"/>
      <c r="Q18" s="860"/>
      <c r="R18" s="860"/>
      <c r="S18" s="860"/>
      <c r="T18" s="747"/>
      <c r="U18" s="861">
        <f>U17</f>
        <v>45203.32</v>
      </c>
      <c r="V18" s="862"/>
      <c r="Y18" s="641" t="s">
        <v>68</v>
      </c>
      <c r="Z18" s="4"/>
    </row>
    <row r="19" spans="1:26" s="641" customFormat="1" ht="12.75">
      <c r="A19" s="736"/>
      <c r="B19" s="737"/>
      <c r="C19" s="727"/>
      <c r="D19" s="727"/>
      <c r="E19" s="727"/>
      <c r="F19" s="727"/>
      <c r="G19" s="738"/>
      <c r="H19" s="739" t="s">
        <v>313</v>
      </c>
      <c r="I19" s="740" t="s">
        <v>314</v>
      </c>
      <c r="J19" s="863"/>
      <c r="K19" s="742">
        <f>J17</f>
        <v>58378.099999999991</v>
      </c>
      <c r="L19" s="743"/>
      <c r="M19" s="744"/>
      <c r="N19" s="744"/>
      <c r="O19" s="744"/>
      <c r="P19" s="744"/>
      <c r="Q19" s="745"/>
      <c r="R19" s="745"/>
      <c r="S19" s="746"/>
      <c r="T19" s="747"/>
      <c r="U19" s="748"/>
      <c r="V19" s="749"/>
      <c r="Z19" s="4"/>
    </row>
    <row r="20" spans="1:26" s="641" customFormat="1" ht="12.75">
      <c r="A20" s="736"/>
      <c r="B20" s="750"/>
      <c r="C20" s="751"/>
      <c r="D20" s="751"/>
      <c r="E20" s="751"/>
      <c r="F20" s="751"/>
      <c r="G20" s="738"/>
      <c r="H20" s="739" t="s">
        <v>54</v>
      </c>
      <c r="I20" s="740" t="s">
        <v>315</v>
      </c>
      <c r="J20" s="863"/>
      <c r="K20" s="742">
        <f>M17+N17</f>
        <v>0</v>
      </c>
      <c r="L20" s="743">
        <f>K17+L17</f>
        <v>1206.71</v>
      </c>
      <c r="M20" s="744"/>
      <c r="N20" s="744"/>
      <c r="O20" s="744"/>
      <c r="P20" s="744"/>
      <c r="Q20" s="864"/>
      <c r="R20" s="864"/>
      <c r="S20" s="750" t="s">
        <v>316</v>
      </c>
      <c r="T20" s="786"/>
      <c r="U20" s="865"/>
      <c r="V20" s="866"/>
      <c r="Y20" s="648"/>
      <c r="Z20" s="4"/>
    </row>
    <row r="21" spans="1:26" s="641" customFormat="1" ht="12.75">
      <c r="A21" s="755" t="s">
        <v>317</v>
      </c>
      <c r="B21" s="756"/>
      <c r="C21" s="756"/>
      <c r="D21" s="756"/>
      <c r="E21" s="756"/>
      <c r="F21" s="756"/>
      <c r="G21" s="757"/>
      <c r="H21" s="739" t="s">
        <v>57</v>
      </c>
      <c r="I21" s="740" t="s">
        <v>370</v>
      </c>
      <c r="J21" s="863"/>
      <c r="K21" s="742"/>
      <c r="L21" s="758">
        <f>O17</f>
        <v>5320</v>
      </c>
      <c r="M21" s="765"/>
      <c r="N21" s="765"/>
      <c r="O21" s="765"/>
      <c r="P21" s="765"/>
      <c r="Q21" s="745"/>
      <c r="R21" s="760" t="s">
        <v>62</v>
      </c>
      <c r="S21" s="760"/>
      <c r="T21" s="760"/>
      <c r="U21" s="766"/>
      <c r="V21" s="767" t="s">
        <v>406</v>
      </c>
      <c r="Y21" s="651"/>
      <c r="Z21" s="4"/>
    </row>
    <row r="22" spans="1:26" s="641" customFormat="1" ht="12.75">
      <c r="A22" s="762" t="s">
        <v>318</v>
      </c>
      <c r="B22" s="763"/>
      <c r="C22" s="763"/>
      <c r="D22" s="763"/>
      <c r="E22" s="763"/>
      <c r="F22" s="763"/>
      <c r="G22" s="764"/>
      <c r="H22" s="739" t="s">
        <v>57</v>
      </c>
      <c r="I22" s="740" t="s">
        <v>372</v>
      </c>
      <c r="J22" s="863"/>
      <c r="K22" s="742"/>
      <c r="L22" s="758"/>
      <c r="M22" s="765"/>
      <c r="N22" s="765"/>
      <c r="O22" s="765"/>
      <c r="P22" s="765"/>
      <c r="Q22" s="745"/>
      <c r="R22" s="745"/>
      <c r="S22" s="751"/>
      <c r="T22" s="751"/>
      <c r="U22" s="766"/>
      <c r="V22" s="767"/>
      <c r="Y22" s="651"/>
      <c r="Z22" s="4"/>
    </row>
    <row r="23" spans="1:26" s="641" customFormat="1" ht="12.75">
      <c r="A23" s="768"/>
      <c r="B23" s="769"/>
      <c r="C23" s="769"/>
      <c r="D23" s="769"/>
      <c r="E23" s="769"/>
      <c r="F23" s="769"/>
      <c r="G23" s="770"/>
      <c r="H23" s="739" t="s">
        <v>140</v>
      </c>
      <c r="I23" s="478" t="s">
        <v>141</v>
      </c>
      <c r="J23" s="478"/>
      <c r="K23" s="742"/>
      <c r="L23" s="758">
        <f>Q17</f>
        <v>1400</v>
      </c>
      <c r="M23" s="765"/>
      <c r="N23" s="765"/>
      <c r="O23" s="765"/>
      <c r="P23" s="765"/>
      <c r="Q23" s="745"/>
      <c r="R23" s="745"/>
      <c r="S23" s="751"/>
      <c r="T23" s="751"/>
      <c r="U23" s="766"/>
      <c r="V23" s="767"/>
      <c r="Y23" s="651"/>
      <c r="Z23" s="4"/>
    </row>
    <row r="24" spans="1:26" s="641" customFormat="1" ht="12.75">
      <c r="A24" s="772"/>
      <c r="B24" s="750"/>
      <c r="G24" s="738"/>
      <c r="H24" s="739" t="s">
        <v>142</v>
      </c>
      <c r="I24" s="478" t="s">
        <v>143</v>
      </c>
      <c r="J24" s="741"/>
      <c r="K24" s="742"/>
      <c r="L24" s="758">
        <f>P17</f>
        <v>4228.07</v>
      </c>
      <c r="M24" s="765"/>
      <c r="N24" s="765"/>
      <c r="O24" s="765"/>
      <c r="P24" s="765"/>
      <c r="Q24" s="745"/>
      <c r="R24" s="745"/>
      <c r="S24" s="751"/>
      <c r="T24" s="751"/>
      <c r="U24" s="766"/>
      <c r="V24" s="767"/>
      <c r="Z24" s="4"/>
    </row>
    <row r="25" spans="1:26" s="641" customFormat="1" ht="12.75">
      <c r="A25" s="772"/>
      <c r="B25" s="751"/>
      <c r="G25" s="738"/>
      <c r="H25" s="739" t="s">
        <v>57</v>
      </c>
      <c r="I25" s="740" t="s">
        <v>407</v>
      </c>
      <c r="J25" s="863"/>
      <c r="K25" s="742"/>
      <c r="L25" s="758">
        <f>S17</f>
        <v>1020</v>
      </c>
      <c r="M25" s="765"/>
      <c r="N25" s="765"/>
      <c r="O25" s="765"/>
      <c r="P25" s="765" t="s">
        <v>373</v>
      </c>
      <c r="Q25" s="745"/>
      <c r="R25" s="745"/>
      <c r="S25" s="751"/>
      <c r="T25" s="751"/>
      <c r="U25" s="766"/>
      <c r="V25" s="767"/>
      <c r="Z25" s="4"/>
    </row>
    <row r="26" spans="1:26" s="641" customFormat="1" ht="12.75">
      <c r="A26" s="772" t="s">
        <v>390</v>
      </c>
      <c r="B26" s="774"/>
      <c r="G26" s="738"/>
      <c r="H26" s="739" t="s">
        <v>66</v>
      </c>
      <c r="I26" s="775" t="s">
        <v>374</v>
      </c>
      <c r="J26" s="867"/>
      <c r="K26" s="742"/>
      <c r="L26" s="758">
        <f>U17</f>
        <v>45203.32</v>
      </c>
      <c r="M26" s="765"/>
      <c r="N26" s="765"/>
      <c r="O26" s="765"/>
      <c r="P26" s="765"/>
      <c r="Q26" s="745"/>
      <c r="R26" s="745"/>
      <c r="S26" s="751"/>
      <c r="T26" s="751"/>
      <c r="U26" s="766"/>
      <c r="V26" s="767"/>
      <c r="Z26" s="4"/>
    </row>
    <row r="27" spans="1:26" s="641" customFormat="1" ht="12.75">
      <c r="A27" s="772"/>
      <c r="B27" s="751"/>
      <c r="C27" s="727"/>
      <c r="D27" s="727"/>
      <c r="E27" s="727"/>
      <c r="F27" s="727"/>
      <c r="G27" s="738"/>
      <c r="H27" s="739"/>
      <c r="I27" s="737"/>
      <c r="J27" s="776"/>
      <c r="K27" s="742"/>
      <c r="L27" s="743"/>
      <c r="M27" s="744"/>
      <c r="N27" s="744"/>
      <c r="O27" s="744"/>
      <c r="P27" s="744"/>
      <c r="Q27" s="777"/>
      <c r="R27" s="777"/>
      <c r="S27" s="778"/>
      <c r="T27" s="779"/>
      <c r="U27" s="780"/>
      <c r="V27" s="781"/>
      <c r="Z27" s="4"/>
    </row>
    <row r="28" spans="1:26" s="641" customFormat="1" ht="12.75">
      <c r="A28" s="782" t="s">
        <v>321</v>
      </c>
      <c r="B28" s="783"/>
      <c r="C28" s="783"/>
      <c r="D28" s="783"/>
      <c r="E28" s="783"/>
      <c r="F28" s="783"/>
      <c r="G28" s="784"/>
      <c r="H28" s="785"/>
      <c r="I28" s="786"/>
      <c r="J28" s="776"/>
      <c r="K28" s="742"/>
      <c r="L28" s="743"/>
      <c r="M28" s="744"/>
      <c r="N28" s="744"/>
      <c r="O28" s="788" t="s">
        <v>391</v>
      </c>
      <c r="P28" s="788"/>
      <c r="Q28" s="788"/>
      <c r="R28" s="788"/>
      <c r="S28" s="788"/>
      <c r="T28" s="788"/>
      <c r="U28" s="788"/>
      <c r="V28" s="789"/>
      <c r="Z28" s="4"/>
    </row>
    <row r="29" spans="1:26" s="641" customFormat="1" ht="12.75">
      <c r="A29" s="790" t="s">
        <v>323</v>
      </c>
      <c r="B29" s="791"/>
      <c r="C29" s="791"/>
      <c r="D29" s="791"/>
      <c r="E29" s="791"/>
      <c r="F29" s="791"/>
      <c r="G29" s="792"/>
      <c r="H29" s="785"/>
      <c r="I29" s="786"/>
      <c r="J29" s="776"/>
      <c r="K29" s="742"/>
      <c r="L29" s="742"/>
      <c r="M29" s="868"/>
      <c r="N29" s="744"/>
      <c r="O29" s="788"/>
      <c r="P29" s="788"/>
      <c r="Q29" s="788"/>
      <c r="R29" s="788"/>
      <c r="S29" s="788"/>
      <c r="T29" s="788"/>
      <c r="U29" s="788"/>
      <c r="V29" s="789"/>
      <c r="Z29" s="4"/>
    </row>
    <row r="30" spans="1:26" s="641" customFormat="1" ht="26.25" customHeight="1">
      <c r="A30" s="793"/>
      <c r="B30" s="737"/>
      <c r="F30" s="794"/>
      <c r="G30" s="794"/>
      <c r="H30" s="785"/>
      <c r="I30" s="786"/>
      <c r="J30" s="795"/>
      <c r="K30" s="742"/>
      <c r="L30" s="742"/>
      <c r="M30" s="744"/>
      <c r="N30" s="744"/>
      <c r="O30" s="796"/>
      <c r="P30" s="796"/>
      <c r="Q30" s="796"/>
      <c r="R30" s="796"/>
      <c r="S30" s="796"/>
      <c r="T30" s="796"/>
      <c r="U30" s="796"/>
      <c r="V30" s="797"/>
      <c r="Z30" s="4"/>
    </row>
    <row r="31" spans="1:26" s="641" customFormat="1" ht="14.25" customHeight="1">
      <c r="A31" s="772" t="s">
        <v>392</v>
      </c>
      <c r="B31" s="766"/>
      <c r="C31" s="766"/>
      <c r="D31" s="766"/>
      <c r="E31" s="766"/>
      <c r="F31" s="798">
        <f>J17</f>
        <v>58378.099999999991</v>
      </c>
      <c r="G31" s="799"/>
      <c r="H31" s="786"/>
      <c r="I31" s="786"/>
      <c r="J31" s="776"/>
      <c r="K31" s="742"/>
      <c r="L31" s="742"/>
      <c r="M31" s="744"/>
      <c r="N31" s="744"/>
      <c r="O31" s="796"/>
      <c r="P31" s="796"/>
      <c r="Q31" s="796"/>
      <c r="R31" s="796"/>
      <c r="S31" s="796"/>
      <c r="T31" s="796"/>
      <c r="U31" s="796"/>
      <c r="V31" s="797"/>
      <c r="Z31" s="4"/>
    </row>
    <row r="32" spans="1:26" s="641" customFormat="1" ht="12.75">
      <c r="A32" s="772"/>
      <c r="B32" s="751"/>
      <c r="C32" s="774"/>
      <c r="D32" s="774"/>
      <c r="E32" s="774"/>
      <c r="F32" s="774"/>
      <c r="G32" s="738"/>
      <c r="H32" s="786"/>
      <c r="I32" s="786"/>
      <c r="J32" s="776"/>
      <c r="K32" s="742"/>
      <c r="L32" s="743"/>
      <c r="M32" s="744"/>
      <c r="N32" s="744"/>
      <c r="O32" s="744"/>
      <c r="P32" s="744"/>
      <c r="Q32" s="800"/>
      <c r="R32" s="800"/>
      <c r="S32" s="748"/>
      <c r="T32" s="746"/>
      <c r="V32" s="781"/>
      <c r="Z32" s="4"/>
    </row>
    <row r="33" spans="1:26" s="641" customFormat="1" ht="12.75">
      <c r="A33" s="782" t="s">
        <v>75</v>
      </c>
      <c r="B33" s="783"/>
      <c r="C33" s="783"/>
      <c r="D33" s="783"/>
      <c r="E33" s="783"/>
      <c r="F33" s="783"/>
      <c r="G33" s="784"/>
      <c r="H33" s="786"/>
      <c r="I33" s="786"/>
      <c r="J33" s="869"/>
      <c r="K33" s="742"/>
      <c r="L33" s="743"/>
      <c r="M33" s="744"/>
      <c r="N33" s="744"/>
      <c r="O33" s="744"/>
      <c r="P33" s="744"/>
      <c r="Q33" s="777"/>
      <c r="R33" s="777"/>
      <c r="S33" s="746"/>
      <c r="T33" s="747"/>
      <c r="U33" s="748"/>
      <c r="V33" s="801"/>
      <c r="Z33" s="4"/>
    </row>
    <row r="34" spans="1:26" s="641" customFormat="1" ht="12.75">
      <c r="A34" s="790" t="s">
        <v>78</v>
      </c>
      <c r="B34" s="791"/>
      <c r="C34" s="791"/>
      <c r="D34" s="791"/>
      <c r="E34" s="791"/>
      <c r="F34" s="791"/>
      <c r="G34" s="792"/>
      <c r="H34" s="786"/>
      <c r="I34" s="786"/>
      <c r="J34" s="869"/>
      <c r="K34" s="742"/>
      <c r="L34" s="743"/>
      <c r="M34" s="744"/>
      <c r="N34" s="744"/>
      <c r="O34" s="744"/>
      <c r="P34" s="744"/>
      <c r="Q34" s="512" t="s">
        <v>73</v>
      </c>
      <c r="R34" s="512"/>
      <c r="S34" s="512"/>
      <c r="T34" s="512"/>
      <c r="U34" s="512"/>
      <c r="V34" s="802"/>
      <c r="Z34" s="4"/>
    </row>
    <row r="35" spans="1:26" s="641" customFormat="1" ht="12.75">
      <c r="A35" s="772"/>
      <c r="B35" s="726"/>
      <c r="C35" s="726"/>
      <c r="D35" s="803"/>
      <c r="E35" s="803"/>
      <c r="F35" s="804"/>
      <c r="G35" s="738"/>
      <c r="H35" s="786"/>
      <c r="I35" s="786"/>
      <c r="J35" s="869"/>
      <c r="K35" s="742"/>
      <c r="L35" s="743"/>
      <c r="M35" s="744"/>
      <c r="N35" s="744"/>
      <c r="O35" s="744"/>
      <c r="P35" s="744"/>
      <c r="Q35" s="515" t="s">
        <v>376</v>
      </c>
      <c r="R35" s="515"/>
      <c r="S35" s="515"/>
      <c r="T35" s="515"/>
      <c r="U35" s="515"/>
      <c r="V35" s="805" t="s">
        <v>327</v>
      </c>
      <c r="Z35" s="4"/>
    </row>
    <row r="36" spans="1:26" s="641" customFormat="1" ht="13.5" thickBot="1">
      <c r="A36" s="806"/>
      <c r="B36" s="807"/>
      <c r="C36" s="807"/>
      <c r="D36" s="808"/>
      <c r="E36" s="808"/>
      <c r="F36" s="809"/>
      <c r="G36" s="810"/>
      <c r="H36" s="811"/>
      <c r="I36" s="811"/>
      <c r="J36" s="870" t="s">
        <v>377</v>
      </c>
      <c r="K36" s="813">
        <f>SUM(K19:K35)</f>
        <v>58378.099999999991</v>
      </c>
      <c r="L36" s="813">
        <f>SUM(L19:L35)</f>
        <v>58378.1</v>
      </c>
      <c r="M36" s="814"/>
      <c r="N36" s="814"/>
      <c r="O36" s="814"/>
      <c r="P36" s="814"/>
      <c r="Q36" s="815"/>
      <c r="R36" s="815"/>
      <c r="S36" s="816"/>
      <c r="T36" s="817"/>
      <c r="U36" s="818"/>
      <c r="V36" s="819"/>
      <c r="Z36" s="4"/>
    </row>
    <row r="37" spans="1:26">
      <c r="A37" s="540"/>
      <c r="L37" s="542">
        <f>K36-L36</f>
        <v>0</v>
      </c>
      <c r="M37" s="542"/>
      <c r="N37" s="542"/>
      <c r="V37" s="246"/>
    </row>
    <row r="38" spans="1:26">
      <c r="L38" s="545"/>
      <c r="M38" s="545"/>
      <c r="N38" s="545"/>
      <c r="O38" s="545"/>
      <c r="P38" s="545"/>
    </row>
    <row r="39" spans="1:26">
      <c r="Q39" s="548"/>
      <c r="R39" s="548"/>
    </row>
    <row r="40" spans="1:26">
      <c r="J40" s="549"/>
    </row>
    <row r="41" spans="1:26">
      <c r="Q41" s="550"/>
      <c r="R41" s="550"/>
      <c r="S41" s="550"/>
      <c r="T41" s="550"/>
      <c r="U41" s="550"/>
      <c r="V41" s="550"/>
    </row>
    <row r="42" spans="1:26">
      <c r="Q42" s="550"/>
      <c r="R42" s="550"/>
      <c r="S42" s="550"/>
      <c r="T42" s="550"/>
      <c r="U42" s="550"/>
      <c r="V42" s="550"/>
    </row>
  </sheetData>
  <mergeCells count="52">
    <mergeCell ref="B36:C36"/>
    <mergeCell ref="Q41:V42"/>
    <mergeCell ref="F31:G31"/>
    <mergeCell ref="A33:G33"/>
    <mergeCell ref="A34:G34"/>
    <mergeCell ref="Q34:U34"/>
    <mergeCell ref="B35:C35"/>
    <mergeCell ref="Q35:U35"/>
    <mergeCell ref="I25:J25"/>
    <mergeCell ref="I26:J26"/>
    <mergeCell ref="A28:G28"/>
    <mergeCell ref="O28:V29"/>
    <mergeCell ref="A29:G29"/>
    <mergeCell ref="F30:G30"/>
    <mergeCell ref="I20:J20"/>
    <mergeCell ref="A21:G21"/>
    <mergeCell ref="I21:J21"/>
    <mergeCell ref="R21:T21"/>
    <mergeCell ref="A22:G22"/>
    <mergeCell ref="I22:J22"/>
    <mergeCell ref="W7:Y7"/>
    <mergeCell ref="A18:B18"/>
    <mergeCell ref="H18:J18"/>
    <mergeCell ref="M18:S18"/>
    <mergeCell ref="U18:V18"/>
    <mergeCell ref="I19:J19"/>
    <mergeCell ref="Q6:Q9"/>
    <mergeCell ref="R6:R9"/>
    <mergeCell ref="S6:S9"/>
    <mergeCell ref="T6:T9"/>
    <mergeCell ref="U6:U9"/>
    <mergeCell ref="B7:B8"/>
    <mergeCell ref="I5:I9"/>
    <mergeCell ref="J5:J9"/>
    <mergeCell ref="K5:S5"/>
    <mergeCell ref="V5:V9"/>
    <mergeCell ref="K6:K9"/>
    <mergeCell ref="L6:L9"/>
    <mergeCell ref="M6:M9"/>
    <mergeCell ref="N6:N9"/>
    <mergeCell ref="O6:O9"/>
    <mergeCell ref="P6:P9"/>
    <mergeCell ref="A1:V1"/>
    <mergeCell ref="A2:V2"/>
    <mergeCell ref="A3:V3"/>
    <mergeCell ref="A5:A9"/>
    <mergeCell ref="C5:C9"/>
    <mergeCell ref="D5:D9"/>
    <mergeCell ref="E5:E9"/>
    <mergeCell ref="F5:F9"/>
    <mergeCell ref="G5:G9"/>
    <mergeCell ref="H5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974D-29DB-4746-BA3B-0F06ED688F6C}">
  <dimension ref="A1:Y36"/>
  <sheetViews>
    <sheetView workbookViewId="0">
      <selection activeCell="J23" sqref="J23"/>
    </sheetView>
  </sheetViews>
  <sheetFormatPr defaultRowHeight="15"/>
  <cols>
    <col min="1" max="1" width="3.85546875" customWidth="1"/>
    <col min="2" max="2" width="28.5703125" style="541" customWidth="1"/>
    <col min="3" max="3" width="12.5703125" customWidth="1"/>
    <col min="4" max="4" width="13.5703125" customWidth="1"/>
    <col min="5" max="5" width="8" customWidth="1"/>
    <col min="6" max="6" width="10.7109375" customWidth="1"/>
    <col min="7" max="7" width="10.5703125" style="239" customWidth="1"/>
    <col min="8" max="8" width="11.28515625" style="240" customWidth="1"/>
    <col min="9" max="9" width="8.7109375" style="240" customWidth="1"/>
    <col min="10" max="10" width="14.28515625" style="241" customWidth="1"/>
    <col min="11" max="12" width="12.140625" customWidth="1"/>
    <col min="13" max="13" width="9.85546875" customWidth="1"/>
    <col min="14" max="14" width="14" customWidth="1"/>
    <col min="15" max="15" width="14" style="544" customWidth="1"/>
    <col min="16" max="16" width="14" style="544" hidden="1" customWidth="1"/>
    <col min="17" max="17" width="9.28515625" style="239" customWidth="1"/>
    <col min="18" max="18" width="9.7109375" style="244" customWidth="1"/>
    <col min="19" max="19" width="14.42578125" style="245" customWidth="1"/>
    <col min="20" max="20" width="16.5703125" style="547" customWidth="1"/>
    <col min="21" max="22" width="11" customWidth="1"/>
    <col min="23" max="23" width="10.42578125" customWidth="1"/>
    <col min="24" max="24" width="10.5703125" style="4" customWidth="1"/>
  </cols>
  <sheetData>
    <row r="1" spans="1:25">
      <c r="A1" s="225" t="s">
        <v>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7"/>
    </row>
    <row r="2" spans="1:25" ht="15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1"/>
    </row>
    <row r="3" spans="1:25">
      <c r="A3" s="232" t="s">
        <v>165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4"/>
    </row>
    <row r="4" spans="1:25" ht="15.75" thickBot="1">
      <c r="A4" s="661" t="s">
        <v>3</v>
      </c>
      <c r="B4" s="662"/>
      <c r="C4" s="663"/>
      <c r="D4" s="663"/>
      <c r="E4" s="663"/>
      <c r="F4" s="663"/>
      <c r="G4" s="664"/>
      <c r="H4" s="665"/>
      <c r="I4" s="665"/>
      <c r="J4" s="666"/>
      <c r="K4" s="667"/>
      <c r="L4" s="667"/>
      <c r="M4" s="667"/>
      <c r="N4" s="667"/>
      <c r="O4" s="668"/>
      <c r="P4" s="668"/>
      <c r="Q4" s="664"/>
      <c r="R4" s="669"/>
      <c r="S4" s="670"/>
      <c r="T4" s="671"/>
    </row>
    <row r="5" spans="1:25">
      <c r="A5" s="672" t="s">
        <v>166</v>
      </c>
      <c r="B5" s="673"/>
      <c r="C5" s="674" t="s">
        <v>7</v>
      </c>
      <c r="D5" s="674" t="s">
        <v>378</v>
      </c>
      <c r="E5" s="674" t="s">
        <v>10</v>
      </c>
      <c r="F5" s="675" t="s">
        <v>168</v>
      </c>
      <c r="G5" s="676" t="s">
        <v>169</v>
      </c>
      <c r="H5" s="676" t="s">
        <v>170</v>
      </c>
      <c r="I5" s="676" t="s">
        <v>12</v>
      </c>
      <c r="J5" s="677" t="s">
        <v>13</v>
      </c>
      <c r="K5" s="820" t="s">
        <v>329</v>
      </c>
      <c r="L5" s="821"/>
      <c r="M5" s="821"/>
      <c r="N5" s="821"/>
      <c r="O5" s="821"/>
      <c r="P5" s="821"/>
      <c r="Q5" s="822"/>
      <c r="R5" s="681"/>
      <c r="S5" s="682" t="s">
        <v>68</v>
      </c>
      <c r="T5" s="683" t="s">
        <v>21</v>
      </c>
      <c r="Y5" t="s">
        <v>68</v>
      </c>
    </row>
    <row r="6" spans="1:25">
      <c r="A6" s="684"/>
      <c r="B6" s="685"/>
      <c r="C6" s="686"/>
      <c r="D6" s="686"/>
      <c r="E6" s="686"/>
      <c r="F6" s="687"/>
      <c r="G6" s="688"/>
      <c r="H6" s="688"/>
      <c r="I6" s="688"/>
      <c r="J6" s="689"/>
      <c r="K6" s="691" t="s">
        <v>331</v>
      </c>
      <c r="L6" s="691" t="s">
        <v>332</v>
      </c>
      <c r="M6" s="691" t="s">
        <v>15</v>
      </c>
      <c r="N6" s="694" t="s">
        <v>133</v>
      </c>
      <c r="O6" s="692" t="s">
        <v>137</v>
      </c>
      <c r="P6" s="692" t="s">
        <v>173</v>
      </c>
      <c r="Q6" s="693" t="s">
        <v>16</v>
      </c>
      <c r="R6" s="691" t="s">
        <v>175</v>
      </c>
      <c r="S6" s="694" t="s">
        <v>20</v>
      </c>
      <c r="T6" s="695"/>
    </row>
    <row r="7" spans="1:25">
      <c r="A7" s="684"/>
      <c r="B7" s="696" t="s">
        <v>176</v>
      </c>
      <c r="C7" s="686"/>
      <c r="D7" s="686"/>
      <c r="E7" s="686"/>
      <c r="F7" s="687"/>
      <c r="G7" s="688"/>
      <c r="H7" s="688"/>
      <c r="I7" s="688"/>
      <c r="J7" s="689"/>
      <c r="K7" s="697"/>
      <c r="L7" s="697"/>
      <c r="M7" s="697"/>
      <c r="N7" s="689"/>
      <c r="O7" s="698"/>
      <c r="P7" s="698"/>
      <c r="Q7" s="699"/>
      <c r="R7" s="697"/>
      <c r="S7" s="689"/>
      <c r="T7" s="695"/>
      <c r="U7" s="588"/>
      <c r="V7" s="588"/>
      <c r="W7" s="588"/>
    </row>
    <row r="8" spans="1:25">
      <c r="A8" s="684"/>
      <c r="B8" s="696"/>
      <c r="C8" s="686"/>
      <c r="D8" s="686"/>
      <c r="E8" s="686"/>
      <c r="F8" s="687"/>
      <c r="G8" s="688"/>
      <c r="H8" s="688"/>
      <c r="I8" s="688"/>
      <c r="J8" s="689"/>
      <c r="K8" s="697"/>
      <c r="L8" s="697"/>
      <c r="M8" s="697"/>
      <c r="N8" s="689"/>
      <c r="O8" s="698"/>
      <c r="P8" s="698"/>
      <c r="Q8" s="699"/>
      <c r="R8" s="697"/>
      <c r="S8" s="689"/>
      <c r="T8" s="695"/>
    </row>
    <row r="9" spans="1:25">
      <c r="A9" s="700"/>
      <c r="B9" s="701"/>
      <c r="C9" s="702"/>
      <c r="D9" s="702"/>
      <c r="E9" s="702"/>
      <c r="F9" s="703"/>
      <c r="G9" s="704"/>
      <c r="H9" s="704"/>
      <c r="I9" s="704"/>
      <c r="J9" s="705"/>
      <c r="K9" s="706"/>
      <c r="L9" s="706"/>
      <c r="M9" s="706"/>
      <c r="N9" s="705"/>
      <c r="O9" s="707"/>
      <c r="P9" s="707"/>
      <c r="Q9" s="708"/>
      <c r="R9" s="706"/>
      <c r="S9" s="705"/>
      <c r="T9" s="709"/>
    </row>
    <row r="10" spans="1:25" s="379" customFormat="1" ht="16.5">
      <c r="A10" s="313">
        <v>1</v>
      </c>
      <c r="B10" s="314" t="s">
        <v>416</v>
      </c>
      <c r="C10" s="315" t="s">
        <v>179</v>
      </c>
      <c r="D10" s="315" t="s">
        <v>417</v>
      </c>
      <c r="E10" s="384">
        <v>776.1</v>
      </c>
      <c r="F10" s="318">
        <v>8537.1</v>
      </c>
      <c r="G10" s="386"/>
      <c r="H10" s="386"/>
      <c r="I10" s="386"/>
      <c r="J10" s="320">
        <f>F10</f>
        <v>8537.1</v>
      </c>
      <c r="K10" s="387"/>
      <c r="L10" s="387"/>
      <c r="M10" s="387">
        <v>750</v>
      </c>
      <c r="N10" s="387">
        <v>853.71</v>
      </c>
      <c r="O10" s="876" t="s">
        <v>284</v>
      </c>
      <c r="P10" s="323"/>
      <c r="Q10" s="712"/>
      <c r="R10" s="713">
        <f>K10+L10+M10+N10</f>
        <v>1603.71</v>
      </c>
      <c r="S10" s="325">
        <f>J10-R10</f>
        <v>6933.39</v>
      </c>
      <c r="T10" s="877" t="s">
        <v>25</v>
      </c>
      <c r="U10" s="327">
        <v>17074.2</v>
      </c>
      <c r="V10" s="612">
        <f>U10/2</f>
        <v>8537.1</v>
      </c>
      <c r="W10" s="373">
        <v>776.1</v>
      </c>
      <c r="X10" s="328">
        <v>1.62</v>
      </c>
    </row>
    <row r="11" spans="1:25" s="311" customFormat="1" ht="15.75" thickBot="1">
      <c r="A11" s="718"/>
      <c r="B11" s="719"/>
      <c r="C11" s="720"/>
      <c r="D11" s="720"/>
      <c r="E11" s="720"/>
      <c r="F11" s="720"/>
      <c r="G11" s="721"/>
      <c r="H11" s="722"/>
      <c r="I11" s="722"/>
      <c r="J11" s="723">
        <f t="shared" ref="J11:S11" si="0">SUM(J10:J10)</f>
        <v>8537.1</v>
      </c>
      <c r="K11" s="723">
        <f t="shared" si="0"/>
        <v>0</v>
      </c>
      <c r="L11" s="723">
        <f t="shared" si="0"/>
        <v>0</v>
      </c>
      <c r="M11" s="723">
        <f t="shared" si="0"/>
        <v>750</v>
      </c>
      <c r="N11" s="878">
        <f t="shared" si="0"/>
        <v>853.71</v>
      </c>
      <c r="O11" s="853">
        <f t="shared" si="0"/>
        <v>0</v>
      </c>
      <c r="P11" s="853">
        <f t="shared" si="0"/>
        <v>0</v>
      </c>
      <c r="Q11" s="853">
        <f t="shared" si="0"/>
        <v>0</v>
      </c>
      <c r="R11" s="723">
        <f t="shared" si="0"/>
        <v>1603.71</v>
      </c>
      <c r="S11" s="723">
        <f t="shared" si="0"/>
        <v>6933.39</v>
      </c>
      <c r="T11" s="724"/>
      <c r="X11" s="4"/>
    </row>
    <row r="12" spans="1:25" s="641" customFormat="1" ht="13.5" thickTop="1">
      <c r="A12" s="725" t="s">
        <v>312</v>
      </c>
      <c r="B12" s="726"/>
      <c r="C12" s="727"/>
      <c r="D12" s="727"/>
      <c r="E12" s="727"/>
      <c r="F12" s="727"/>
      <c r="G12" s="728"/>
      <c r="H12" s="854" t="s">
        <v>48</v>
      </c>
      <c r="I12" s="855"/>
      <c r="J12" s="856"/>
      <c r="K12" s="857" t="s">
        <v>309</v>
      </c>
      <c r="L12" s="858" t="s">
        <v>310</v>
      </c>
      <c r="M12" s="859" t="s">
        <v>311</v>
      </c>
      <c r="N12" s="860"/>
      <c r="O12" s="860"/>
      <c r="P12" s="860"/>
      <c r="Q12" s="860"/>
      <c r="R12" s="747"/>
      <c r="S12" s="861">
        <f>S11</f>
        <v>6933.39</v>
      </c>
      <c r="T12" s="862"/>
      <c r="U12" s="651"/>
      <c r="W12" s="641" t="s">
        <v>68</v>
      </c>
      <c r="X12" s="4"/>
    </row>
    <row r="13" spans="1:25" s="641" customFormat="1" ht="12.75">
      <c r="A13" s="736"/>
      <c r="B13" s="737"/>
      <c r="C13" s="727"/>
      <c r="D13" s="727"/>
      <c r="E13" s="727"/>
      <c r="F13" s="727"/>
      <c r="G13" s="738"/>
      <c r="H13" s="739" t="s">
        <v>57</v>
      </c>
      <c r="I13" s="740" t="s">
        <v>418</v>
      </c>
      <c r="J13" s="863"/>
      <c r="K13" s="742">
        <f>J11</f>
        <v>8537.1</v>
      </c>
      <c r="L13" s="743"/>
      <c r="M13" s="744"/>
      <c r="N13" s="744"/>
      <c r="O13" s="745"/>
      <c r="P13" s="745"/>
      <c r="Q13" s="746"/>
      <c r="R13" s="747"/>
      <c r="S13" s="748"/>
      <c r="T13" s="749"/>
      <c r="X13" s="4"/>
    </row>
    <row r="14" spans="1:25" s="641" customFormat="1" ht="12.75">
      <c r="A14" s="736"/>
      <c r="B14" s="750"/>
      <c r="C14" s="751"/>
      <c r="D14" s="751"/>
      <c r="E14" s="751"/>
      <c r="F14" s="751"/>
      <c r="G14" s="738"/>
      <c r="H14" s="739" t="s">
        <v>54</v>
      </c>
      <c r="I14" s="740" t="s">
        <v>315</v>
      </c>
      <c r="J14" s="863"/>
      <c r="K14" s="742">
        <v>0</v>
      </c>
      <c r="L14" s="743">
        <f>K11+L11</f>
        <v>0</v>
      </c>
      <c r="M14" s="752" t="s">
        <v>316</v>
      </c>
      <c r="N14" s="753"/>
      <c r="O14" s="753"/>
      <c r="P14" s="753"/>
      <c r="Q14" s="753"/>
      <c r="R14" s="753"/>
      <c r="S14" s="753"/>
      <c r="T14" s="754"/>
      <c r="W14" s="648"/>
      <c r="X14" s="4"/>
    </row>
    <row r="15" spans="1:25" s="641" customFormat="1" ht="12.75">
      <c r="A15" s="755" t="s">
        <v>317</v>
      </c>
      <c r="B15" s="756"/>
      <c r="C15" s="756"/>
      <c r="D15" s="756"/>
      <c r="E15" s="756"/>
      <c r="F15" s="756"/>
      <c r="G15" s="757"/>
      <c r="H15" s="739" t="s">
        <v>57</v>
      </c>
      <c r="I15" s="740" t="s">
        <v>370</v>
      </c>
      <c r="J15" s="863"/>
      <c r="K15" s="742"/>
      <c r="L15" s="758">
        <f>M11</f>
        <v>750</v>
      </c>
      <c r="M15" s="759" t="s">
        <v>62</v>
      </c>
      <c r="N15" s="760"/>
      <c r="O15" s="760"/>
      <c r="P15" s="760"/>
      <c r="Q15" s="760"/>
      <c r="R15" s="760"/>
      <c r="S15" s="760"/>
      <c r="T15" s="761"/>
      <c r="W15" s="651"/>
      <c r="X15" s="4"/>
    </row>
    <row r="16" spans="1:25" s="641" customFormat="1" ht="12.75">
      <c r="A16" s="762" t="s">
        <v>318</v>
      </c>
      <c r="B16" s="763"/>
      <c r="C16" s="763"/>
      <c r="D16" s="763"/>
      <c r="E16" s="763"/>
      <c r="F16" s="763"/>
      <c r="G16" s="764"/>
      <c r="H16" s="739" t="s">
        <v>57</v>
      </c>
      <c r="I16" s="740" t="s">
        <v>372</v>
      </c>
      <c r="J16" s="863"/>
      <c r="K16" s="742"/>
      <c r="L16" s="758">
        <f>O11</f>
        <v>0</v>
      </c>
      <c r="M16" s="765"/>
      <c r="N16" s="765"/>
      <c r="O16" s="745"/>
      <c r="P16" s="745"/>
      <c r="Q16" s="751"/>
      <c r="R16" s="751"/>
      <c r="S16" s="766"/>
      <c r="T16" s="767"/>
      <c r="W16" s="651"/>
      <c r="X16" s="4"/>
    </row>
    <row r="17" spans="1:24" s="641" customFormat="1" ht="12.75">
      <c r="A17" s="768"/>
      <c r="B17" s="769"/>
      <c r="C17" s="769"/>
      <c r="D17" s="769"/>
      <c r="E17" s="769"/>
      <c r="F17" s="769"/>
      <c r="G17" s="770"/>
      <c r="H17" s="739" t="s">
        <v>140</v>
      </c>
      <c r="I17" s="478" t="s">
        <v>141</v>
      </c>
      <c r="J17" s="478"/>
      <c r="K17" s="742"/>
      <c r="L17" s="758"/>
      <c r="M17" s="765"/>
      <c r="N17" s="765"/>
      <c r="O17" s="745"/>
      <c r="P17" s="745"/>
      <c r="Q17" s="751"/>
      <c r="R17" s="751"/>
      <c r="S17" s="766"/>
      <c r="T17" s="767"/>
      <c r="W17" s="651"/>
      <c r="X17" s="4"/>
    </row>
    <row r="18" spans="1:24" s="641" customFormat="1" ht="12.75">
      <c r="A18" s="772"/>
      <c r="B18" s="750"/>
      <c r="G18" s="738"/>
      <c r="H18" s="739" t="s">
        <v>142</v>
      </c>
      <c r="I18" s="741" t="s">
        <v>143</v>
      </c>
      <c r="J18" s="741"/>
      <c r="K18" s="742"/>
      <c r="L18" s="758">
        <f>N11</f>
        <v>853.71</v>
      </c>
      <c r="M18" s="765"/>
      <c r="N18" s="765"/>
      <c r="O18" s="745"/>
      <c r="P18" s="745"/>
      <c r="Q18" s="751"/>
      <c r="R18" s="751"/>
      <c r="S18" s="766"/>
      <c r="T18" s="767"/>
      <c r="X18" s="4"/>
    </row>
    <row r="19" spans="1:24" s="641" customFormat="1" ht="12.75">
      <c r="A19" s="772"/>
      <c r="B19" s="751"/>
      <c r="G19" s="738"/>
      <c r="H19" s="739" t="s">
        <v>57</v>
      </c>
      <c r="I19" s="740" t="s">
        <v>419</v>
      </c>
      <c r="J19" s="863"/>
      <c r="K19" s="742"/>
      <c r="L19" s="758">
        <v>0</v>
      </c>
      <c r="M19" s="765"/>
      <c r="N19" s="765" t="s">
        <v>373</v>
      </c>
      <c r="O19" s="745"/>
      <c r="P19" s="745"/>
      <c r="Q19" s="751"/>
      <c r="R19" s="751"/>
      <c r="S19" s="766"/>
      <c r="T19" s="767"/>
      <c r="X19" s="4"/>
    </row>
    <row r="20" spans="1:24" s="641" customFormat="1" ht="12.75">
      <c r="A20" s="772" t="s">
        <v>390</v>
      </c>
      <c r="B20" s="774"/>
      <c r="G20" s="738"/>
      <c r="H20" s="739" t="s">
        <v>66</v>
      </c>
      <c r="I20" s="775" t="s">
        <v>374</v>
      </c>
      <c r="J20" s="867"/>
      <c r="K20" s="742"/>
      <c r="L20" s="758">
        <f>S11</f>
        <v>6933.39</v>
      </c>
      <c r="M20" s="765"/>
      <c r="N20" s="765"/>
      <c r="O20" s="745"/>
      <c r="P20" s="745"/>
      <c r="Q20" s="751"/>
      <c r="R20" s="751"/>
      <c r="S20" s="766"/>
      <c r="T20" s="767"/>
      <c r="X20" s="4"/>
    </row>
    <row r="21" spans="1:24" s="641" customFormat="1" ht="12.75">
      <c r="A21" s="772"/>
      <c r="B21" s="751"/>
      <c r="C21" s="727"/>
      <c r="D21" s="727"/>
      <c r="E21" s="727"/>
      <c r="F21" s="727"/>
      <c r="G21" s="738"/>
      <c r="H21" s="739"/>
      <c r="I21" s="737"/>
      <c r="J21" s="776"/>
      <c r="K21" s="742"/>
      <c r="L21" s="743"/>
      <c r="M21" s="744"/>
      <c r="N21" s="744"/>
      <c r="O21" s="777"/>
      <c r="P21" s="777"/>
      <c r="Q21" s="778"/>
      <c r="R21" s="779"/>
      <c r="S21" s="780"/>
      <c r="T21" s="781"/>
      <c r="X21" s="4"/>
    </row>
    <row r="22" spans="1:24" s="641" customFormat="1" ht="12.75">
      <c r="A22" s="782" t="s">
        <v>321</v>
      </c>
      <c r="B22" s="783"/>
      <c r="C22" s="783"/>
      <c r="D22" s="783"/>
      <c r="E22" s="783"/>
      <c r="F22" s="783"/>
      <c r="G22" s="784"/>
      <c r="H22" s="785"/>
      <c r="I22" s="786"/>
      <c r="J22" s="776"/>
      <c r="K22" s="742"/>
      <c r="L22" s="743"/>
      <c r="M22" s="787" t="s">
        <v>391</v>
      </c>
      <c r="N22" s="788"/>
      <c r="O22" s="788"/>
      <c r="P22" s="788"/>
      <c r="Q22" s="788"/>
      <c r="R22" s="788"/>
      <c r="S22" s="788"/>
      <c r="T22" s="789"/>
      <c r="X22" s="4"/>
    </row>
    <row r="23" spans="1:24" s="641" customFormat="1" ht="12.75">
      <c r="A23" s="790" t="s">
        <v>323</v>
      </c>
      <c r="B23" s="791"/>
      <c r="C23" s="791"/>
      <c r="D23" s="791"/>
      <c r="E23" s="791"/>
      <c r="F23" s="791"/>
      <c r="G23" s="792"/>
      <c r="H23" s="785"/>
      <c r="I23" s="786"/>
      <c r="J23" s="776"/>
      <c r="K23" s="742"/>
      <c r="L23" s="742"/>
      <c r="M23" s="787"/>
      <c r="N23" s="788"/>
      <c r="O23" s="788"/>
      <c r="P23" s="788"/>
      <c r="Q23" s="788"/>
      <c r="R23" s="788"/>
      <c r="S23" s="788"/>
      <c r="T23" s="789"/>
      <c r="X23" s="4"/>
    </row>
    <row r="24" spans="1:24" s="641" customFormat="1">
      <c r="A24" s="793"/>
      <c r="B24" s="737"/>
      <c r="F24" s="794"/>
      <c r="G24" s="794"/>
      <c r="H24" s="785"/>
      <c r="I24" s="786"/>
      <c r="J24" s="795"/>
      <c r="K24" s="742"/>
      <c r="L24" s="742"/>
      <c r="M24" s="796"/>
      <c r="N24" s="796"/>
      <c r="O24" s="796"/>
      <c r="P24" s="796"/>
      <c r="Q24" s="796"/>
      <c r="R24" s="796"/>
      <c r="S24" s="796"/>
      <c r="T24" s="797"/>
      <c r="X24" s="4"/>
    </row>
    <row r="25" spans="1:24" s="641" customFormat="1">
      <c r="A25" s="772" t="s">
        <v>392</v>
      </c>
      <c r="B25" s="766"/>
      <c r="C25" s="766"/>
      <c r="D25" s="766"/>
      <c r="E25" s="766"/>
      <c r="F25" s="798">
        <f>J11</f>
        <v>8537.1</v>
      </c>
      <c r="G25" s="799"/>
      <c r="H25" s="786"/>
      <c r="I25" s="786"/>
      <c r="J25" s="776"/>
      <c r="K25" s="742"/>
      <c r="L25" s="742"/>
      <c r="M25" s="796"/>
      <c r="N25" s="796"/>
      <c r="O25" s="796"/>
      <c r="P25" s="796"/>
      <c r="Q25" s="796"/>
      <c r="R25" s="796"/>
      <c r="S25" s="796"/>
      <c r="T25" s="797"/>
      <c r="X25" s="4"/>
    </row>
    <row r="26" spans="1:24" s="641" customFormat="1" ht="12.75">
      <c r="A26" s="772"/>
      <c r="B26" s="751"/>
      <c r="C26" s="774"/>
      <c r="D26" s="774"/>
      <c r="E26" s="774"/>
      <c r="F26" s="774"/>
      <c r="G26" s="738"/>
      <c r="H26" s="786"/>
      <c r="I26" s="786"/>
      <c r="J26" s="776"/>
      <c r="K26" s="742"/>
      <c r="L26" s="743"/>
      <c r="M26" s="744"/>
      <c r="N26" s="744"/>
      <c r="O26" s="800"/>
      <c r="P26" s="800"/>
      <c r="Q26" s="748"/>
      <c r="R26" s="746"/>
      <c r="T26" s="781"/>
      <c r="X26" s="4"/>
    </row>
    <row r="27" spans="1:24" s="641" customFormat="1" ht="12.75">
      <c r="A27" s="782" t="s">
        <v>75</v>
      </c>
      <c r="B27" s="783"/>
      <c r="C27" s="783"/>
      <c r="D27" s="783"/>
      <c r="E27" s="783"/>
      <c r="F27" s="783"/>
      <c r="G27" s="784"/>
      <c r="H27" s="786"/>
      <c r="I27" s="786"/>
      <c r="J27" s="869"/>
      <c r="K27" s="742"/>
      <c r="L27" s="743"/>
      <c r="M27" s="744"/>
      <c r="N27" s="744"/>
      <c r="O27" s="777"/>
      <c r="P27" s="777"/>
      <c r="Q27" s="746"/>
      <c r="R27" s="747"/>
      <c r="S27" s="748"/>
      <c r="T27" s="801"/>
      <c r="X27" s="4"/>
    </row>
    <row r="28" spans="1:24" s="641" customFormat="1" ht="12.75">
      <c r="A28" s="790" t="s">
        <v>78</v>
      </c>
      <c r="B28" s="791"/>
      <c r="C28" s="791"/>
      <c r="D28" s="791"/>
      <c r="E28" s="791"/>
      <c r="F28" s="791"/>
      <c r="G28" s="792"/>
      <c r="H28" s="786"/>
      <c r="I28" s="786"/>
      <c r="J28" s="869"/>
      <c r="K28" s="742"/>
      <c r="L28" s="743"/>
      <c r="M28" s="744"/>
      <c r="N28" s="744"/>
      <c r="O28" s="512" t="s">
        <v>73</v>
      </c>
      <c r="P28" s="512"/>
      <c r="Q28" s="512"/>
      <c r="R28" s="512"/>
      <c r="S28" s="512"/>
      <c r="T28" s="802"/>
      <c r="X28" s="4"/>
    </row>
    <row r="29" spans="1:24" s="641" customFormat="1" ht="12.75">
      <c r="A29" s="772"/>
      <c r="B29" s="726"/>
      <c r="C29" s="726"/>
      <c r="D29" s="803"/>
      <c r="E29" s="803"/>
      <c r="F29" s="804"/>
      <c r="G29" s="738"/>
      <c r="H29" s="786"/>
      <c r="I29" s="786"/>
      <c r="J29" s="869"/>
      <c r="K29" s="742"/>
      <c r="L29" s="743"/>
      <c r="M29" s="744"/>
      <c r="N29" s="744"/>
      <c r="O29" s="515" t="s">
        <v>376</v>
      </c>
      <c r="P29" s="515"/>
      <c r="Q29" s="515"/>
      <c r="R29" s="515"/>
      <c r="S29" s="515"/>
      <c r="T29" s="805" t="s">
        <v>327</v>
      </c>
      <c r="X29" s="4"/>
    </row>
    <row r="30" spans="1:24" s="641" customFormat="1" ht="13.5" thickBot="1">
      <c r="A30" s="806"/>
      <c r="B30" s="807"/>
      <c r="C30" s="807"/>
      <c r="D30" s="808"/>
      <c r="E30" s="808"/>
      <c r="F30" s="809"/>
      <c r="G30" s="810"/>
      <c r="H30" s="811"/>
      <c r="I30" s="811"/>
      <c r="J30" s="870" t="s">
        <v>377</v>
      </c>
      <c r="K30" s="813">
        <f>SUM(K13:K29)</f>
        <v>8537.1</v>
      </c>
      <c r="L30" s="813">
        <f>SUM(L13:L29)</f>
        <v>8537.1</v>
      </c>
      <c r="M30" s="814"/>
      <c r="N30" s="814"/>
      <c r="O30" s="815"/>
      <c r="P30" s="815"/>
      <c r="Q30" s="816"/>
      <c r="R30" s="817"/>
      <c r="S30" s="818"/>
      <c r="T30" s="819"/>
      <c r="X30" s="4"/>
    </row>
    <row r="31" spans="1:24">
      <c r="A31" s="540"/>
      <c r="L31" s="542">
        <f>K30-L30</f>
        <v>0</v>
      </c>
      <c r="T31" s="246"/>
    </row>
    <row r="32" spans="1:24">
      <c r="L32" s="545"/>
      <c r="M32" s="545"/>
      <c r="N32" s="545"/>
    </row>
    <row r="33" spans="10:20">
      <c r="O33" s="548"/>
      <c r="P33" s="548"/>
    </row>
    <row r="34" spans="10:20">
      <c r="J34" s="549"/>
    </row>
    <row r="35" spans="10:20">
      <c r="O35" s="550"/>
      <c r="P35" s="550"/>
      <c r="Q35" s="550"/>
      <c r="R35" s="550"/>
      <c r="S35" s="550"/>
      <c r="T35" s="550"/>
    </row>
    <row r="36" spans="10:20">
      <c r="O36" s="550"/>
      <c r="P36" s="550"/>
      <c r="Q36" s="550"/>
      <c r="R36" s="550"/>
      <c r="S36" s="550"/>
      <c r="T36" s="550"/>
    </row>
  </sheetData>
  <mergeCells count="51">
    <mergeCell ref="B30:C30"/>
    <mergeCell ref="O35:T36"/>
    <mergeCell ref="F24:G24"/>
    <mergeCell ref="F25:G25"/>
    <mergeCell ref="A27:G27"/>
    <mergeCell ref="A28:G28"/>
    <mergeCell ref="O28:S28"/>
    <mergeCell ref="B29:C29"/>
    <mergeCell ref="O29:S29"/>
    <mergeCell ref="A16:G16"/>
    <mergeCell ref="I16:J16"/>
    <mergeCell ref="I19:J19"/>
    <mergeCell ref="I20:J20"/>
    <mergeCell ref="A22:G22"/>
    <mergeCell ref="M22:T23"/>
    <mergeCell ref="A23:G23"/>
    <mergeCell ref="I13:J13"/>
    <mergeCell ref="I14:J14"/>
    <mergeCell ref="M14:T14"/>
    <mergeCell ref="A15:G15"/>
    <mergeCell ref="I15:J15"/>
    <mergeCell ref="M15:T15"/>
    <mergeCell ref="Q6:Q9"/>
    <mergeCell ref="R6:R9"/>
    <mergeCell ref="S6:S9"/>
    <mergeCell ref="B7:B8"/>
    <mergeCell ref="U7:W7"/>
    <mergeCell ref="A12:B12"/>
    <mergeCell ref="H12:J12"/>
    <mergeCell ref="M12:Q12"/>
    <mergeCell ref="S12:T12"/>
    <mergeCell ref="I5:I9"/>
    <mergeCell ref="J5:J9"/>
    <mergeCell ref="K5:Q5"/>
    <mergeCell ref="T5:T9"/>
    <mergeCell ref="K6:K9"/>
    <mergeCell ref="L6:L9"/>
    <mergeCell ref="M6:M9"/>
    <mergeCell ref="N6:N9"/>
    <mergeCell ref="O6:O9"/>
    <mergeCell ref="P6:P9"/>
    <mergeCell ref="A1:T1"/>
    <mergeCell ref="A2:T2"/>
    <mergeCell ref="A3:T3"/>
    <mergeCell ref="A5:A9"/>
    <mergeCell ref="C5:C9"/>
    <mergeCell ref="D5:D9"/>
    <mergeCell ref="E5:E9"/>
    <mergeCell ref="F5:F9"/>
    <mergeCell ref="G5:G9"/>
    <mergeCell ref="H5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8EC5-CD26-452D-AF73-C559EFFE4DB9}">
  <dimension ref="A1:X39"/>
  <sheetViews>
    <sheetView tabSelected="1" workbookViewId="0">
      <selection activeCell="A21" sqref="A21:G21"/>
    </sheetView>
  </sheetViews>
  <sheetFormatPr defaultRowHeight="15"/>
  <cols>
    <col min="1" max="1" width="3.85546875" customWidth="1"/>
    <col min="2" max="2" width="26.85546875" style="541" customWidth="1"/>
    <col min="3" max="3" width="9.85546875" customWidth="1"/>
    <col min="4" max="4" width="26.28515625" customWidth="1"/>
    <col min="5" max="5" width="10" style="228" customWidth="1"/>
    <col min="6" max="6" width="10.85546875" customWidth="1"/>
    <col min="7" max="7" width="12.85546875" style="239" customWidth="1"/>
    <col min="8" max="8" width="12.5703125" style="240" customWidth="1"/>
    <col min="9" max="9" width="10.140625" style="240" customWidth="1"/>
    <col min="10" max="10" width="14.42578125" style="240" customWidth="1"/>
    <col min="11" max="11" width="12.28515625" customWidth="1"/>
    <col min="12" max="12" width="12.140625" customWidth="1"/>
    <col min="13" max="13" width="10.5703125" style="543" hidden="1" customWidth="1"/>
    <col min="14" max="14" width="11" style="543" customWidth="1"/>
    <col min="15" max="15" width="10.7109375" style="544" customWidth="1"/>
    <col min="16" max="16" width="12.7109375" style="239" customWidth="1"/>
    <col min="17" max="17" width="12.42578125" style="244" customWidth="1"/>
    <col min="18" max="18" width="14.28515625" style="245" customWidth="1"/>
    <col min="19" max="19" width="31.140625" style="547" customWidth="1"/>
    <col min="20" max="20" width="13.85546875" customWidth="1"/>
    <col min="21" max="21" width="11.140625" bestFit="1" customWidth="1"/>
    <col min="22" max="22" width="10" style="228" bestFit="1" customWidth="1"/>
    <col min="23" max="23" width="9.28515625" style="228" bestFit="1" customWidth="1"/>
    <col min="26" max="26" width="10.7109375" customWidth="1"/>
    <col min="28" max="28" width="11" customWidth="1"/>
    <col min="30" max="30" width="10.28515625" customWidth="1"/>
  </cols>
  <sheetData>
    <row r="1" spans="1:24" ht="21.75" customHeight="1">
      <c r="A1" s="225" t="s">
        <v>1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7"/>
    </row>
    <row r="2" spans="1:24" ht="15" customHeight="1">
      <c r="A2" s="229" t="s">
        <v>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1"/>
    </row>
    <row r="3" spans="1:24" ht="15" customHeight="1">
      <c r="A3" s="229" t="s">
        <v>408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0"/>
      <c r="R3" s="230"/>
      <c r="S3" s="231"/>
    </row>
    <row r="4" spans="1:24" ht="15.75" customHeight="1">
      <c r="A4" s="232" t="s">
        <v>165</v>
      </c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</row>
    <row r="5" spans="1:24" ht="15.75" thickBot="1">
      <c r="A5" s="235" t="s">
        <v>3</v>
      </c>
      <c r="B5" s="236"/>
      <c r="C5" s="237"/>
      <c r="D5" s="237"/>
      <c r="E5" s="238"/>
      <c r="F5" s="237"/>
      <c r="M5" s="242"/>
      <c r="N5" s="242"/>
      <c r="O5" s="243"/>
      <c r="S5" s="246"/>
    </row>
    <row r="6" spans="1:24" ht="12.75" customHeight="1">
      <c r="A6" s="247" t="s">
        <v>166</v>
      </c>
      <c r="B6" s="248"/>
      <c r="C6" s="249" t="s">
        <v>7</v>
      </c>
      <c r="D6" s="249" t="s">
        <v>409</v>
      </c>
      <c r="E6" s="250" t="s">
        <v>10</v>
      </c>
      <c r="F6" s="251" t="s">
        <v>168</v>
      </c>
      <c r="G6" s="252" t="s">
        <v>169</v>
      </c>
      <c r="H6" s="252" t="s">
        <v>170</v>
      </c>
      <c r="I6" s="252" t="s">
        <v>410</v>
      </c>
      <c r="J6" s="252" t="s">
        <v>13</v>
      </c>
      <c r="K6" s="253"/>
      <c r="L6" s="253"/>
      <c r="M6" s="253"/>
      <c r="N6" s="253"/>
      <c r="O6" s="253"/>
      <c r="P6" s="253"/>
      <c r="Q6" s="254"/>
      <c r="R6" s="255" t="s">
        <v>68</v>
      </c>
      <c r="S6" s="256" t="s">
        <v>21</v>
      </c>
    </row>
    <row r="7" spans="1:24" ht="24" customHeight="1">
      <c r="A7" s="257"/>
      <c r="B7" s="258"/>
      <c r="C7" s="259"/>
      <c r="D7" s="259"/>
      <c r="E7" s="260"/>
      <c r="F7" s="261"/>
      <c r="G7" s="262"/>
      <c r="H7" s="262"/>
      <c r="I7" s="262"/>
      <c r="J7" s="262"/>
      <c r="K7" s="263" t="s">
        <v>171</v>
      </c>
      <c r="L7" s="264"/>
      <c r="M7" s="266" t="s">
        <v>411</v>
      </c>
      <c r="N7" s="265" t="s">
        <v>15</v>
      </c>
      <c r="O7" s="265" t="s">
        <v>173</v>
      </c>
      <c r="P7" s="265" t="s">
        <v>174</v>
      </c>
      <c r="Q7" s="267" t="s">
        <v>175</v>
      </c>
      <c r="R7" s="266" t="s">
        <v>20</v>
      </c>
      <c r="S7" s="268"/>
    </row>
    <row r="8" spans="1:24" ht="24" customHeight="1">
      <c r="A8" s="257"/>
      <c r="B8" s="269" t="s">
        <v>176</v>
      </c>
      <c r="C8" s="259"/>
      <c r="D8" s="259"/>
      <c r="E8" s="260"/>
      <c r="F8" s="261"/>
      <c r="G8" s="262"/>
      <c r="H8" s="262"/>
      <c r="I8" s="262"/>
      <c r="J8" s="262"/>
      <c r="K8" s="270"/>
      <c r="L8" s="271"/>
      <c r="M8" s="265"/>
      <c r="N8" s="265"/>
      <c r="O8" s="265"/>
      <c r="P8" s="265"/>
      <c r="Q8" s="272"/>
      <c r="R8" s="265"/>
      <c r="S8" s="268"/>
      <c r="T8" s="273"/>
    </row>
    <row r="9" spans="1:24" ht="14.25" customHeight="1">
      <c r="A9" s="257"/>
      <c r="B9" s="269"/>
      <c r="C9" s="259"/>
      <c r="D9" s="259"/>
      <c r="E9" s="260"/>
      <c r="F9" s="261"/>
      <c r="G9" s="262"/>
      <c r="H9" s="262"/>
      <c r="I9" s="262"/>
      <c r="J9" s="262"/>
      <c r="K9" s="270"/>
      <c r="L9" s="271"/>
      <c r="M9" s="265"/>
      <c r="N9" s="265"/>
      <c r="O9" s="265"/>
      <c r="P9" s="265"/>
      <c r="Q9" s="272"/>
      <c r="R9" s="265"/>
      <c r="S9" s="268"/>
    </row>
    <row r="10" spans="1:24" ht="1.5" customHeight="1">
      <c r="A10" s="274"/>
      <c r="B10" s="275"/>
      <c r="C10" s="276"/>
      <c r="D10" s="276"/>
      <c r="E10" s="277"/>
      <c r="F10" s="278"/>
      <c r="G10" s="279"/>
      <c r="H10" s="279"/>
      <c r="I10" s="280"/>
      <c r="J10" s="279"/>
      <c r="K10" s="282"/>
      <c r="L10" s="282"/>
      <c r="M10" s="283"/>
      <c r="N10" s="283"/>
      <c r="O10" s="283"/>
      <c r="P10" s="283"/>
      <c r="Q10" s="285"/>
      <c r="R10" s="283"/>
      <c r="S10" s="286"/>
    </row>
    <row r="11" spans="1:24" ht="15.75" customHeight="1">
      <c r="A11" s="287"/>
      <c r="B11" s="288"/>
      <c r="C11" s="289"/>
      <c r="D11" s="289"/>
      <c r="E11" s="290"/>
      <c r="F11" s="291"/>
      <c r="G11" s="292"/>
      <c r="H11" s="292"/>
      <c r="I11" s="292"/>
      <c r="J11" s="293"/>
      <c r="K11" s="296">
        <v>0.03</v>
      </c>
      <c r="L11" s="296">
        <v>0.02</v>
      </c>
      <c r="M11" s="297"/>
      <c r="N11" s="297"/>
      <c r="O11" s="298"/>
      <c r="P11" s="298"/>
      <c r="Q11" s="297"/>
      <c r="R11" s="299"/>
      <c r="S11" s="300"/>
    </row>
    <row r="12" spans="1:24" s="330" customFormat="1" ht="25.5">
      <c r="A12" s="313">
        <v>1</v>
      </c>
      <c r="B12" s="339" t="s">
        <v>412</v>
      </c>
      <c r="C12" s="871" t="s">
        <v>179</v>
      </c>
      <c r="D12" s="316" t="s">
        <v>413</v>
      </c>
      <c r="E12" s="397">
        <v>681.82</v>
      </c>
      <c r="F12" s="872">
        <v>7500</v>
      </c>
      <c r="G12" s="319"/>
      <c r="H12" s="319"/>
      <c r="I12" s="319"/>
      <c r="J12" s="320">
        <f t="shared" ref="J12:J13" si="0">F12-G12</f>
        <v>7500</v>
      </c>
      <c r="K12" s="321">
        <v>225</v>
      </c>
      <c r="L12" s="321">
        <v>150</v>
      </c>
      <c r="M12" s="322"/>
      <c r="N12" s="322"/>
      <c r="O12" s="323"/>
      <c r="P12" s="319"/>
      <c r="Q12" s="320">
        <f t="shared" ref="Q12:Q13" si="1">K12+L12+N12+O12+P12</f>
        <v>375</v>
      </c>
      <c r="R12" s="873">
        <f t="shared" ref="R12:R13" si="2">J12-Q12</f>
        <v>7125</v>
      </c>
      <c r="S12" s="874"/>
      <c r="T12" s="327">
        <v>15000</v>
      </c>
      <c r="U12" s="328">
        <f t="shared" ref="U12:U13" si="3">T12/2</f>
        <v>7500</v>
      </c>
      <c r="V12" s="329">
        <v>550</v>
      </c>
      <c r="W12" s="329">
        <f t="shared" ref="W12:W13" si="4">V12/8/60</f>
        <v>1.1458333333333333</v>
      </c>
      <c r="X12" s="328">
        <f t="shared" ref="X12:X16" si="5">V12/8</f>
        <v>68.75</v>
      </c>
    </row>
    <row r="13" spans="1:24" s="330" customFormat="1" ht="25.5">
      <c r="A13" s="313">
        <v>2</v>
      </c>
      <c r="B13" s="339" t="s">
        <v>414</v>
      </c>
      <c r="C13" s="871" t="s">
        <v>179</v>
      </c>
      <c r="D13" s="316" t="s">
        <v>413</v>
      </c>
      <c r="E13" s="397">
        <v>681.82</v>
      </c>
      <c r="F13" s="872">
        <v>7500</v>
      </c>
      <c r="G13" s="319"/>
      <c r="H13" s="319"/>
      <c r="I13" s="319"/>
      <c r="J13" s="320">
        <f t="shared" si="0"/>
        <v>7500</v>
      </c>
      <c r="K13" s="321">
        <v>225</v>
      </c>
      <c r="L13" s="321">
        <v>150</v>
      </c>
      <c r="M13" s="322"/>
      <c r="N13" s="322"/>
      <c r="O13" s="323"/>
      <c r="P13" s="319"/>
      <c r="Q13" s="320">
        <f t="shared" si="1"/>
        <v>375</v>
      </c>
      <c r="R13" s="873">
        <f t="shared" si="2"/>
        <v>7125</v>
      </c>
      <c r="S13" s="874"/>
      <c r="T13" s="327">
        <v>15000</v>
      </c>
      <c r="U13" s="328">
        <f t="shared" si="3"/>
        <v>7500</v>
      </c>
      <c r="V13" s="329">
        <v>550</v>
      </c>
      <c r="W13" s="329">
        <f t="shared" si="4"/>
        <v>1.1458333333333333</v>
      </c>
      <c r="X13" s="328">
        <f t="shared" si="5"/>
        <v>68.75</v>
      </c>
    </row>
    <row r="14" spans="1:24" s="391" customFormat="1" ht="13.5" thickBot="1">
      <c r="A14" s="409" t="s">
        <v>415</v>
      </c>
      <c r="B14" s="410"/>
      <c r="C14" s="411"/>
      <c r="D14" s="412"/>
      <c r="E14" s="413"/>
      <c r="F14" s="414"/>
      <c r="G14" s="415"/>
      <c r="H14" s="415"/>
      <c r="I14" s="415"/>
      <c r="J14" s="415">
        <f>SUM(J12:J13)</f>
        <v>15000</v>
      </c>
      <c r="K14" s="415">
        <f t="shared" ref="K14:R14" si="6">SUM(K12:K13)</f>
        <v>450</v>
      </c>
      <c r="L14" s="415">
        <f t="shared" si="6"/>
        <v>300</v>
      </c>
      <c r="M14" s="415">
        <f t="shared" si="6"/>
        <v>0</v>
      </c>
      <c r="N14" s="415">
        <f t="shared" si="6"/>
        <v>0</v>
      </c>
      <c r="O14" s="415">
        <f t="shared" si="6"/>
        <v>0</v>
      </c>
      <c r="P14" s="415">
        <f t="shared" si="6"/>
        <v>0</v>
      </c>
      <c r="Q14" s="415">
        <f t="shared" si="6"/>
        <v>750</v>
      </c>
      <c r="R14" s="415">
        <f t="shared" si="6"/>
        <v>14250</v>
      </c>
      <c r="S14" s="416"/>
      <c r="T14" s="390"/>
      <c r="V14" s="392"/>
      <c r="W14" s="392"/>
      <c r="X14" s="328">
        <f t="shared" si="5"/>
        <v>0</v>
      </c>
    </row>
    <row r="15" spans="1:24" s="311" customFormat="1" ht="13.5">
      <c r="A15" s="417"/>
      <c r="B15" s="330"/>
      <c r="C15" s="4"/>
      <c r="D15" s="4"/>
      <c r="E15" s="418"/>
      <c r="F15" s="418"/>
      <c r="G15" s="419"/>
      <c r="H15" s="420"/>
      <c r="I15" s="420"/>
      <c r="J15" s="373"/>
      <c r="K15" s="418"/>
      <c r="L15" s="418"/>
      <c r="M15" s="421"/>
      <c r="N15" s="421"/>
      <c r="O15" s="369"/>
      <c r="P15" s="419"/>
      <c r="Q15" s="422"/>
      <c r="R15" s="327"/>
      <c r="S15" s="423"/>
      <c r="V15" s="312"/>
      <c r="W15" s="312"/>
      <c r="X15" s="328">
        <f t="shared" si="5"/>
        <v>0</v>
      </c>
    </row>
    <row r="16" spans="1:24" s="311" customFormat="1" ht="13.5">
      <c r="A16" s="424" t="s">
        <v>308</v>
      </c>
      <c r="B16" s="395"/>
      <c r="C16" s="425"/>
      <c r="D16" s="425"/>
      <c r="E16" s="426"/>
      <c r="F16" s="426"/>
      <c r="G16" s="427"/>
      <c r="H16" s="427"/>
      <c r="I16" s="427"/>
      <c r="J16" s="427">
        <f>J14</f>
        <v>15000</v>
      </c>
      <c r="K16" s="427">
        <f t="shared" ref="K16:R16" si="7">K14</f>
        <v>450</v>
      </c>
      <c r="L16" s="427">
        <f t="shared" si="7"/>
        <v>300</v>
      </c>
      <c r="M16" s="427">
        <f t="shared" si="7"/>
        <v>0</v>
      </c>
      <c r="N16" s="427">
        <f t="shared" si="7"/>
        <v>0</v>
      </c>
      <c r="O16" s="427">
        <f t="shared" si="7"/>
        <v>0</v>
      </c>
      <c r="P16" s="427">
        <f t="shared" si="7"/>
        <v>0</v>
      </c>
      <c r="Q16" s="427">
        <f t="shared" si="7"/>
        <v>750</v>
      </c>
      <c r="R16" s="427">
        <f t="shared" si="7"/>
        <v>14250</v>
      </c>
      <c r="S16" s="428">
        <f>SUM(S12:S14)</f>
        <v>0</v>
      </c>
      <c r="V16" s="312"/>
      <c r="W16" s="312"/>
      <c r="X16" s="328">
        <f t="shared" si="5"/>
        <v>0</v>
      </c>
    </row>
    <row r="17" spans="1:23" s="311" customFormat="1" ht="13.5">
      <c r="A17" s="429"/>
      <c r="B17" s="430"/>
      <c r="C17" s="431"/>
      <c r="D17" s="431"/>
      <c r="E17" s="432"/>
      <c r="F17" s="431"/>
      <c r="G17" s="433"/>
      <c r="H17" s="434" t="s">
        <v>48</v>
      </c>
      <c r="I17" s="435"/>
      <c r="J17" s="435"/>
      <c r="K17" s="438" t="s">
        <v>309</v>
      </c>
      <c r="L17" s="439" t="s">
        <v>310</v>
      </c>
      <c r="M17" s="875" t="s">
        <v>311</v>
      </c>
      <c r="N17" s="440"/>
      <c r="O17" s="440"/>
      <c r="P17" s="440"/>
      <c r="Q17" s="441"/>
      <c r="R17" s="442">
        <f>R16</f>
        <v>14250</v>
      </c>
      <c r="S17" s="443"/>
      <c r="V17" s="312"/>
      <c r="W17" s="312"/>
    </row>
    <row r="18" spans="1:23" s="311" customFormat="1" ht="13.5">
      <c r="A18" s="444" t="s">
        <v>312</v>
      </c>
      <c r="B18" s="330"/>
      <c r="C18" s="445"/>
      <c r="D18" s="445"/>
      <c r="E18" s="446"/>
      <c r="F18" s="445"/>
      <c r="G18" s="447"/>
      <c r="H18" s="448" t="s">
        <v>313</v>
      </c>
      <c r="I18" s="449" t="s">
        <v>314</v>
      </c>
      <c r="J18" s="449"/>
      <c r="K18" s="451">
        <f>J16</f>
        <v>15000</v>
      </c>
      <c r="L18" s="452"/>
      <c r="M18" s="453"/>
      <c r="N18" s="453"/>
      <c r="O18" s="419"/>
      <c r="P18" s="454"/>
      <c r="Q18" s="455"/>
      <c r="R18" s="456"/>
      <c r="S18" s="457"/>
      <c r="V18" s="312"/>
      <c r="W18" s="312"/>
    </row>
    <row r="19" spans="1:23" s="311" customFormat="1" ht="13.5">
      <c r="A19" s="444"/>
      <c r="B19" s="458"/>
      <c r="C19" s="459"/>
      <c r="D19" s="459"/>
      <c r="E19" s="419"/>
      <c r="F19" s="459"/>
      <c r="G19" s="447"/>
      <c r="H19" s="448" t="s">
        <v>54</v>
      </c>
      <c r="I19" s="449" t="s">
        <v>315</v>
      </c>
      <c r="J19" s="449"/>
      <c r="K19" s="451"/>
      <c r="L19" s="452">
        <f>K16+L16</f>
        <v>750</v>
      </c>
      <c r="M19" s="453"/>
      <c r="N19" s="460" t="s">
        <v>316</v>
      </c>
      <c r="O19" s="460"/>
      <c r="P19" s="460"/>
      <c r="Q19" s="460"/>
      <c r="R19" s="460"/>
      <c r="S19" s="461"/>
      <c r="V19" s="312"/>
      <c r="W19" s="312"/>
    </row>
    <row r="20" spans="1:23" s="311" customFormat="1" ht="13.5">
      <c r="A20" s="462" t="s">
        <v>317</v>
      </c>
      <c r="B20" s="463"/>
      <c r="C20" s="463"/>
      <c r="D20" s="463"/>
      <c r="E20" s="463"/>
      <c r="F20" s="463"/>
      <c r="G20" s="464"/>
      <c r="H20" s="448" t="s">
        <v>57</v>
      </c>
      <c r="I20" s="449" t="s">
        <v>63</v>
      </c>
      <c r="J20" s="449"/>
      <c r="K20" s="451"/>
      <c r="L20" s="465">
        <f>M16+N16</f>
        <v>0</v>
      </c>
      <c r="M20" s="453"/>
      <c r="N20" s="466" t="s">
        <v>62</v>
      </c>
      <c r="O20" s="466"/>
      <c r="P20" s="466"/>
      <c r="Q20" s="466"/>
      <c r="R20" s="466"/>
      <c r="S20" s="467"/>
      <c r="V20" s="312"/>
      <c r="W20" s="312"/>
    </row>
    <row r="21" spans="1:23" s="311" customFormat="1" ht="13.5">
      <c r="A21" s="468" t="s">
        <v>318</v>
      </c>
      <c r="B21" s="469"/>
      <c r="C21" s="469"/>
      <c r="D21" s="469"/>
      <c r="E21" s="469"/>
      <c r="F21" s="469"/>
      <c r="G21" s="470"/>
      <c r="H21" s="448" t="s">
        <v>57</v>
      </c>
      <c r="I21" s="449" t="s">
        <v>61</v>
      </c>
      <c r="J21" s="449"/>
      <c r="K21" s="451"/>
      <c r="L21" s="465">
        <f>O16</f>
        <v>0</v>
      </c>
      <c r="M21" s="453"/>
      <c r="N21" s="453"/>
      <c r="O21" s="419"/>
      <c r="P21" s="459"/>
      <c r="Q21" s="459"/>
      <c r="R21" s="471"/>
      <c r="S21" s="472"/>
      <c r="V21" s="312"/>
      <c r="W21" s="312"/>
    </row>
    <row r="22" spans="1:23" s="311" customFormat="1" ht="13.5">
      <c r="A22" s="417"/>
      <c r="B22" s="459"/>
      <c r="E22" s="480"/>
      <c r="G22" s="447"/>
      <c r="H22" s="448" t="s">
        <v>57</v>
      </c>
      <c r="I22" s="449" t="s">
        <v>99</v>
      </c>
      <c r="J22" s="449"/>
      <c r="K22" s="451"/>
      <c r="L22" s="465">
        <f>P16</f>
        <v>0</v>
      </c>
      <c r="M22" s="453"/>
      <c r="N22" s="453"/>
      <c r="O22" s="419"/>
      <c r="P22" s="459"/>
      <c r="Q22" s="459"/>
      <c r="R22" s="471"/>
      <c r="S22" s="472"/>
      <c r="V22" s="312"/>
      <c r="W22" s="312"/>
    </row>
    <row r="23" spans="1:23" s="311" customFormat="1" ht="13.5">
      <c r="A23" s="417" t="s">
        <v>319</v>
      </c>
      <c r="B23" s="481"/>
      <c r="E23" s="480"/>
      <c r="G23" s="447"/>
      <c r="H23" s="448" t="s">
        <v>66</v>
      </c>
      <c r="I23" s="482" t="s">
        <v>320</v>
      </c>
      <c r="J23" s="482"/>
      <c r="K23" s="451"/>
      <c r="L23" s="465">
        <f>R16</f>
        <v>14250</v>
      </c>
      <c r="M23" s="453"/>
      <c r="N23" s="453"/>
      <c r="O23" s="419"/>
      <c r="P23" s="459"/>
      <c r="Q23" s="459"/>
      <c r="R23" s="471"/>
      <c r="S23" s="472"/>
      <c r="V23" s="312"/>
      <c r="W23" s="312"/>
    </row>
    <row r="24" spans="1:23" s="311" customFormat="1" ht="13.5">
      <c r="A24" s="417"/>
      <c r="B24" s="459"/>
      <c r="C24" s="445"/>
      <c r="D24" s="445"/>
      <c r="E24" s="446"/>
      <c r="F24" s="445"/>
      <c r="G24" s="447"/>
      <c r="H24" s="486"/>
      <c r="I24" s="459"/>
      <c r="J24" s="330"/>
      <c r="K24" s="451"/>
      <c r="L24" s="452"/>
      <c r="M24" s="453"/>
      <c r="N24" s="453"/>
      <c r="O24" s="488"/>
      <c r="P24" s="489"/>
      <c r="Q24" s="490"/>
      <c r="R24" s="491"/>
      <c r="S24" s="423"/>
      <c r="V24" s="312"/>
      <c r="W24" s="312"/>
    </row>
    <row r="25" spans="1:23" s="311" customFormat="1" ht="13.5">
      <c r="A25" s="492" t="s">
        <v>321</v>
      </c>
      <c r="B25" s="493"/>
      <c r="C25" s="493"/>
      <c r="D25" s="493"/>
      <c r="E25" s="493"/>
      <c r="F25" s="493"/>
      <c r="G25" s="494"/>
      <c r="H25" s="495"/>
      <c r="I25" s="496"/>
      <c r="J25" s="496"/>
      <c r="K25" s="451"/>
      <c r="L25" s="452"/>
      <c r="M25" s="654" t="s">
        <v>375</v>
      </c>
      <c r="N25" s="497"/>
      <c r="O25" s="497"/>
      <c r="P25" s="497"/>
      <c r="Q25" s="497"/>
      <c r="R25" s="497"/>
      <c r="S25" s="498"/>
      <c r="V25" s="312"/>
      <c r="W25" s="312"/>
    </row>
    <row r="26" spans="1:23" s="311" customFormat="1" ht="13.5">
      <c r="A26" s="499" t="s">
        <v>323</v>
      </c>
      <c r="B26" s="500"/>
      <c r="C26" s="500"/>
      <c r="D26" s="500"/>
      <c r="E26" s="500"/>
      <c r="F26" s="500"/>
      <c r="G26" s="501"/>
      <c r="H26" s="495"/>
      <c r="I26" s="496"/>
      <c r="J26" s="496"/>
      <c r="K26" s="451"/>
      <c r="L26" s="451"/>
      <c r="M26" s="654"/>
      <c r="N26" s="497"/>
      <c r="O26" s="497"/>
      <c r="P26" s="497"/>
      <c r="Q26" s="497"/>
      <c r="R26" s="497"/>
      <c r="S26" s="498"/>
      <c r="V26" s="312"/>
      <c r="W26" s="312"/>
    </row>
    <row r="27" spans="1:23" s="311" customFormat="1" ht="15.75">
      <c r="A27" s="502"/>
      <c r="B27" s="330"/>
      <c r="E27" s="480"/>
      <c r="F27" s="503"/>
      <c r="G27" s="503"/>
      <c r="H27" s="495"/>
      <c r="I27" s="496"/>
      <c r="J27" s="496"/>
      <c r="K27" s="451"/>
      <c r="L27" s="451"/>
      <c r="M27" s="505"/>
      <c r="N27" s="505"/>
      <c r="O27" s="506"/>
      <c r="P27" s="506"/>
      <c r="Q27" s="506"/>
      <c r="R27" s="506"/>
      <c r="S27" s="507"/>
      <c r="V27" s="312"/>
      <c r="W27" s="312"/>
    </row>
    <row r="28" spans="1:23" s="311" customFormat="1" ht="17.25" customHeight="1">
      <c r="A28" s="417" t="s">
        <v>324</v>
      </c>
      <c r="B28" s="471"/>
      <c r="C28" s="471"/>
      <c r="D28" s="471"/>
      <c r="E28" s="327"/>
      <c r="F28" s="508">
        <f>J16</f>
        <v>15000</v>
      </c>
      <c r="G28" s="509"/>
      <c r="H28" s="496"/>
      <c r="I28" s="496"/>
      <c r="J28" s="496"/>
      <c r="K28" s="451"/>
      <c r="L28" s="451"/>
      <c r="M28" s="505"/>
      <c r="N28" s="505"/>
      <c r="O28" s="506"/>
      <c r="P28" s="506"/>
      <c r="Q28" s="506"/>
      <c r="R28" s="506"/>
      <c r="S28" s="507"/>
      <c r="V28" s="312"/>
      <c r="W28" s="312"/>
    </row>
    <row r="29" spans="1:23" s="311" customFormat="1" ht="13.5">
      <c r="A29" s="417"/>
      <c r="B29" s="459"/>
      <c r="C29" s="481"/>
      <c r="D29" s="481"/>
      <c r="E29" s="510"/>
      <c r="F29" s="459"/>
      <c r="G29" s="447"/>
      <c r="H29" s="496"/>
      <c r="I29" s="496"/>
      <c r="J29" s="496"/>
      <c r="K29" s="451"/>
      <c r="L29" s="452"/>
      <c r="M29" s="453"/>
      <c r="N29" s="453"/>
      <c r="O29" s="511"/>
      <c r="P29" s="512"/>
      <c r="Q29" s="512"/>
      <c r="R29" s="512"/>
      <c r="S29" s="513"/>
      <c r="T29" s="514"/>
      <c r="U29" s="514"/>
      <c r="V29" s="312"/>
      <c r="W29" s="312"/>
    </row>
    <row r="30" spans="1:23" s="311" customFormat="1" ht="13.5">
      <c r="A30" s="492" t="s">
        <v>75</v>
      </c>
      <c r="B30" s="493"/>
      <c r="C30" s="493"/>
      <c r="D30" s="493"/>
      <c r="E30" s="493"/>
      <c r="F30" s="493"/>
      <c r="G30" s="494"/>
      <c r="H30" s="496"/>
      <c r="I30" s="496"/>
      <c r="J30" s="496"/>
      <c r="K30" s="451"/>
      <c r="L30" s="452"/>
      <c r="M30" s="453"/>
      <c r="N30" s="453"/>
      <c r="O30" s="488"/>
      <c r="P30" s="515"/>
      <c r="Q30" s="515"/>
      <c r="R30" s="515"/>
      <c r="S30" s="516"/>
      <c r="T30" s="517"/>
      <c r="U30" s="517"/>
      <c r="V30" s="312"/>
      <c r="W30" s="312"/>
    </row>
    <row r="31" spans="1:23" s="311" customFormat="1" ht="13.5">
      <c r="A31" s="499" t="s">
        <v>78</v>
      </c>
      <c r="B31" s="500"/>
      <c r="C31" s="500"/>
      <c r="D31" s="500"/>
      <c r="E31" s="500"/>
      <c r="F31" s="500"/>
      <c r="G31" s="501"/>
      <c r="H31" s="496"/>
      <c r="I31" s="496"/>
      <c r="J31" s="496"/>
      <c r="K31" s="451"/>
      <c r="L31" s="452"/>
      <c r="M31" s="453"/>
      <c r="N31" s="453"/>
      <c r="O31" s="518" t="s">
        <v>325</v>
      </c>
      <c r="P31" s="518"/>
      <c r="Q31" s="518"/>
      <c r="R31" s="518"/>
      <c r="S31" s="519"/>
      <c r="V31" s="312"/>
      <c r="W31" s="312"/>
    </row>
    <row r="32" spans="1:23" s="311" customFormat="1" ht="13.5">
      <c r="A32" s="417"/>
      <c r="B32" s="520"/>
      <c r="C32" s="520"/>
      <c r="D32" s="521"/>
      <c r="E32" s="522"/>
      <c r="F32" s="379"/>
      <c r="G32" s="447"/>
      <c r="H32" s="496"/>
      <c r="I32" s="496"/>
      <c r="J32" s="496"/>
      <c r="K32" s="451"/>
      <c r="L32" s="452"/>
      <c r="M32" s="453"/>
      <c r="N32" s="453"/>
      <c r="O32" s="523" t="s">
        <v>326</v>
      </c>
      <c r="P32" s="523"/>
      <c r="Q32" s="523"/>
      <c r="R32" s="523"/>
      <c r="S32" s="524" t="s">
        <v>327</v>
      </c>
      <c r="V32" s="312"/>
      <c r="W32" s="312"/>
    </row>
    <row r="33" spans="1:23" s="311" customFormat="1" ht="14.25" thickBot="1">
      <c r="A33" s="525"/>
      <c r="B33" s="526"/>
      <c r="C33" s="526"/>
      <c r="D33" s="527"/>
      <c r="E33" s="528"/>
      <c r="F33" s="529"/>
      <c r="G33" s="530"/>
      <c r="H33" s="531"/>
      <c r="I33" s="531"/>
      <c r="J33" s="531"/>
      <c r="K33" s="533">
        <f>SUM(K18:K32)</f>
        <v>15000</v>
      </c>
      <c r="L33" s="533">
        <f>SUM(L18:L32)</f>
        <v>15000</v>
      </c>
      <c r="M33" s="534"/>
      <c r="N33" s="534"/>
      <c r="O33" s="535"/>
      <c r="P33" s="536"/>
      <c r="Q33" s="537"/>
      <c r="R33" s="538"/>
      <c r="S33" s="539" t="s">
        <v>68</v>
      </c>
      <c r="V33" s="312"/>
      <c r="W33" s="312"/>
    </row>
    <row r="34" spans="1:23">
      <c r="A34" s="540"/>
      <c r="L34" s="542">
        <f>K33-L33</f>
        <v>0</v>
      </c>
      <c r="S34" s="246"/>
    </row>
    <row r="35" spans="1:23">
      <c r="L35" s="545"/>
      <c r="M35" s="546"/>
      <c r="N35" s="546"/>
    </row>
    <row r="36" spans="1:23">
      <c r="O36" s="548"/>
    </row>
    <row r="38" spans="1:23">
      <c r="L38" t="s">
        <v>68</v>
      </c>
      <c r="O38" s="550"/>
      <c r="P38" s="550"/>
      <c r="Q38" s="550"/>
      <c r="R38" s="550"/>
      <c r="S38" s="550"/>
    </row>
    <row r="39" spans="1:23">
      <c r="O39" s="550"/>
      <c r="P39" s="550"/>
      <c r="Q39" s="550"/>
      <c r="R39" s="550"/>
      <c r="S39" s="550"/>
    </row>
  </sheetData>
  <mergeCells count="50">
    <mergeCell ref="B32:C32"/>
    <mergeCell ref="O32:R32"/>
    <mergeCell ref="B33:C33"/>
    <mergeCell ref="O38:S39"/>
    <mergeCell ref="F27:G27"/>
    <mergeCell ref="F28:G28"/>
    <mergeCell ref="P29:R29"/>
    <mergeCell ref="A30:G30"/>
    <mergeCell ref="P30:R30"/>
    <mergeCell ref="A31:G31"/>
    <mergeCell ref="O31:R31"/>
    <mergeCell ref="A21:G21"/>
    <mergeCell ref="I21:J21"/>
    <mergeCell ref="I22:J22"/>
    <mergeCell ref="I23:J23"/>
    <mergeCell ref="A25:G25"/>
    <mergeCell ref="M25:S26"/>
    <mergeCell ref="A26:G26"/>
    <mergeCell ref="I18:J18"/>
    <mergeCell ref="I19:J19"/>
    <mergeCell ref="N19:S19"/>
    <mergeCell ref="A20:G20"/>
    <mergeCell ref="I20:J20"/>
    <mergeCell ref="N20:S20"/>
    <mergeCell ref="Q7:Q10"/>
    <mergeCell ref="R7:R10"/>
    <mergeCell ref="B8:B9"/>
    <mergeCell ref="H17:J17"/>
    <mergeCell ref="M17:P17"/>
    <mergeCell ref="R17:S17"/>
    <mergeCell ref="H6:H10"/>
    <mergeCell ref="I6:I9"/>
    <mergeCell ref="J6:J10"/>
    <mergeCell ref="K6:P6"/>
    <mergeCell ref="S6:S10"/>
    <mergeCell ref="K7:L9"/>
    <mergeCell ref="M7:M10"/>
    <mergeCell ref="N7:N10"/>
    <mergeCell ref="O7:O10"/>
    <mergeCell ref="P7:P10"/>
    <mergeCell ref="A1:S1"/>
    <mergeCell ref="A2:S2"/>
    <mergeCell ref="A3:S3"/>
    <mergeCell ref="A4:S4"/>
    <mergeCell ref="A6:A10"/>
    <mergeCell ref="C6:C10"/>
    <mergeCell ref="D6:D10"/>
    <mergeCell ref="E6:E10"/>
    <mergeCell ref="F6:F10"/>
    <mergeCell ref="G6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</vt:lpstr>
      <vt:lpstr>INC</vt:lpstr>
      <vt:lpstr>MDS</vt:lpstr>
      <vt:lpstr>PROJ</vt:lpstr>
      <vt:lpstr>BUSTYPE</vt:lpstr>
      <vt:lpstr>YEARBOOK</vt:lpstr>
      <vt:lpstr>SUPPORT 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Rodelyn Perania</dc:creator>
  <cp:lastModifiedBy>Rodelyn Perania</cp:lastModifiedBy>
  <dcterms:created xsi:type="dcterms:W3CDTF">2026-08-10T01:29:17Z</dcterms:created>
  <dcterms:modified xsi:type="dcterms:W3CDTF">2026-08-10T01:38:53Z</dcterms:modified>
</cp:coreProperties>
</file>